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4"/>
  </bookViews>
  <sheets>
    <sheet r:id="rId1" sheetId="1" name="CONFIGURAÇÃO"/>
    <sheet r:id="rId2" sheetId="2" name="PRECIFICAÇÃO"/>
    <sheet r:id="rId3" sheetId="3" name="FEV 2025"/>
    <sheet r:id="rId4" sheetId="4" name="MAR 2025"/>
    <sheet r:id="rId5" sheetId="5" name="ABRIL 2025"/>
    <sheet r:id="rId6" sheetId="6" name="RESUMO MENSAL"/>
    <sheet r:id="rId7" sheetId="7" name="VENDA DIA A DIA"/>
    <sheet r:id="rId8" sheetId="8" name="COMISSÕES"/>
    <sheet r:id="rId9" sheetId="9" name="CONTABILIDADE"/>
  </sheets>
  <definedNames>
    <definedName name="_xlnm._FilterDatabase" localSheetId="4">'ABRIL 2025'!$A$1:$M$172</definedName>
    <definedName name="_xlnm._FilterDatabase" localSheetId="0">CONFIGURAÇÃO!$H$1:$I$259</definedName>
    <definedName name="_xlnm._FilterDatabase" localSheetId="2">'FEV 2025'!$A$1:$K$604</definedName>
    <definedName name="_xlnm._FilterDatabase" localSheetId="3">'MAR 2025'!$A$1:$K$711</definedName>
  </definedNames>
  <calcPr fullCalcOnLoad="1"/>
</workbook>
</file>

<file path=xl/sharedStrings.xml><?xml version="1.0" encoding="utf-8"?>
<sst xmlns="http://schemas.openxmlformats.org/spreadsheetml/2006/main" count="9747" uniqueCount="740">
  <si>
    <t>LUCRO BRUTO</t>
  </si>
  <si>
    <t>CUSTOS</t>
  </si>
  <si>
    <t>COMISSÕES</t>
  </si>
  <si>
    <t>CUSTO GIRO MENSAL</t>
  </si>
  <si>
    <t>REINVESTIMENTO</t>
  </si>
  <si>
    <t>TOTAL</t>
  </si>
  <si>
    <t>LUCRO LIQUIDO</t>
  </si>
  <si>
    <t>CAIXA LOJA</t>
  </si>
  <si>
    <t>DIVIVENDOS</t>
  </si>
  <si>
    <t xml:space="preserve"> </t>
  </si>
  <si>
    <t>MARÇO</t>
  </si>
  <si>
    <t>VENDEDORES</t>
  </si>
  <si>
    <t>VENDIDO</t>
  </si>
  <si>
    <t>PAGO</t>
  </si>
  <si>
    <t xml:space="preserve">QUANTIDADE </t>
  </si>
  <si>
    <t xml:space="preserve">PROJEÇÃO </t>
  </si>
  <si>
    <t xml:space="preserve"> REAL</t>
  </si>
  <si>
    <t>CREDITADO</t>
  </si>
  <si>
    <t>TOTAL NÃO PAGO</t>
  </si>
  <si>
    <t>ISADORA</t>
  </si>
  <si>
    <t>ABRIL</t>
  </si>
  <si>
    <t>ANA CAROLINA</t>
  </si>
  <si>
    <t>GUILHERME</t>
  </si>
  <si>
    <t>VENDEDOR</t>
  </si>
  <si>
    <t>GERAL</t>
  </si>
  <si>
    <t>VENDAS</t>
  </si>
  <si>
    <t>FEV</t>
  </si>
  <si>
    <t>qtd</t>
  </si>
  <si>
    <t>META</t>
  </si>
  <si>
    <t>MAR</t>
  </si>
  <si>
    <t>bruto</t>
  </si>
  <si>
    <t>liquido</t>
  </si>
  <si>
    <t>dia</t>
  </si>
  <si>
    <t>data</t>
  </si>
  <si>
    <t>13/02/2025</t>
  </si>
  <si>
    <t>14/02/2025</t>
  </si>
  <si>
    <t>15/02/2025</t>
  </si>
  <si>
    <t>17/02/2025</t>
  </si>
  <si>
    <t>18/02/2025</t>
  </si>
  <si>
    <t>19/02/2025</t>
  </si>
  <si>
    <t>20/02/2025</t>
  </si>
  <si>
    <t>21/02/2025</t>
  </si>
  <si>
    <t>24/02/2025</t>
  </si>
  <si>
    <t>25/02/2025</t>
  </si>
  <si>
    <t>26/02/2025</t>
  </si>
  <si>
    <t>27/02/2025</t>
  </si>
  <si>
    <t>28/02/2025</t>
  </si>
  <si>
    <t>23/02/2025</t>
  </si>
  <si>
    <t>FEVEREIRO</t>
  </si>
  <si>
    <t xml:space="preserve">ABRIL </t>
  </si>
  <si>
    <t>KARINNA</t>
  </si>
  <si>
    <t>TOTAL VENDIDO</t>
  </si>
  <si>
    <t>CORTESIA</t>
  </si>
  <si>
    <t>QTD</t>
  </si>
  <si>
    <t>TOTAL RECEBIDO</t>
  </si>
  <si>
    <t>TOTAL A RECEBER</t>
  </si>
  <si>
    <t>DIFERENÇA PRA META</t>
  </si>
  <si>
    <t>CUSTO</t>
  </si>
  <si>
    <t>LIQUIDO</t>
  </si>
  <si>
    <t>JULIO</t>
  </si>
  <si>
    <t>TOTAL DIFERENÇA</t>
  </si>
  <si>
    <t>TOTAL CUSTO</t>
  </si>
  <si>
    <t>TOTAL LIQUIDO</t>
  </si>
  <si>
    <t>DATA</t>
  </si>
  <si>
    <t>CLIENTE</t>
  </si>
  <si>
    <t>TEL</t>
  </si>
  <si>
    <t>PRODUTO</t>
  </si>
  <si>
    <t>VALOR UNITARIO</t>
  </si>
  <si>
    <t>STATUS</t>
  </si>
  <si>
    <t>MENSAGEM COBRANÇA</t>
  </si>
  <si>
    <t>OBS</t>
  </si>
  <si>
    <t>TAINAN</t>
  </si>
  <si>
    <t>BOLO</t>
  </si>
  <si>
    <t>NÃO RECEBIDO</t>
  </si>
  <si>
    <t>NÃO</t>
  </si>
  <si>
    <t>CARINA</t>
  </si>
  <si>
    <t xml:space="preserve">COPO DA FELICIDADE </t>
  </si>
  <si>
    <t>LARISSA SILVEIRA</t>
  </si>
  <si>
    <t>CX DOCE</t>
  </si>
  <si>
    <t>OTAVIO</t>
  </si>
  <si>
    <t>TAUAN</t>
  </si>
  <si>
    <t>RIAN</t>
  </si>
  <si>
    <t>MONICA</t>
  </si>
  <si>
    <t>MIRIAM MARIA</t>
  </si>
  <si>
    <t>BRIGADEIRO</t>
  </si>
  <si>
    <t>MALU LEONEL</t>
  </si>
  <si>
    <t>REGINA MEDEIROS</t>
  </si>
  <si>
    <t>TESTE</t>
  </si>
  <si>
    <t>MARIA EDUARDA ABREU</t>
  </si>
  <si>
    <t>NICOLY CLEMENTINO</t>
  </si>
  <si>
    <t>GEOVANA BORGES</t>
  </si>
  <si>
    <t>CINTIA FANE</t>
  </si>
  <si>
    <t>MARCADO ISABELLE NA CONTROLE DO IPHONE</t>
  </si>
  <si>
    <t>STEFANI</t>
  </si>
  <si>
    <t>PAMELA</t>
  </si>
  <si>
    <t>JULIA PAT</t>
  </si>
  <si>
    <t>LUANA RODRIGUES</t>
  </si>
  <si>
    <t>STEPHANY</t>
  </si>
  <si>
    <t xml:space="preserve">VITORIA  </t>
  </si>
  <si>
    <t>SARAH</t>
  </si>
  <si>
    <t xml:space="preserve">FERNANDA TARGINO </t>
  </si>
  <si>
    <t>ANA MAXIMO</t>
  </si>
  <si>
    <t>ENAILE FERREIRA CARVALHO</t>
  </si>
  <si>
    <t>GILSON</t>
  </si>
  <si>
    <t>Sarah Menezes</t>
  </si>
  <si>
    <t>Vitória Souza</t>
  </si>
  <si>
    <t xml:space="preserve">BOMBOM DE POTE MARACUJA </t>
  </si>
  <si>
    <t>Débora Santana</t>
  </si>
  <si>
    <t>Ana Carolina Coutinho</t>
  </si>
  <si>
    <t>CASQUINHA DA LULU</t>
  </si>
  <si>
    <t>Ana Vitória Rocha Gomes</t>
  </si>
  <si>
    <t>Maikom Vinícius</t>
  </si>
  <si>
    <t>Guilherme Canhedo</t>
  </si>
  <si>
    <t>GIULIA</t>
  </si>
  <si>
    <t>MALU</t>
  </si>
  <si>
    <t xml:space="preserve">FLAVIA </t>
  </si>
  <si>
    <t>ANA PAULA</t>
  </si>
  <si>
    <t>ISABELLY SIQUEIRA</t>
  </si>
  <si>
    <t>ELAINE</t>
  </si>
  <si>
    <t>LARA PORTELA</t>
  </si>
  <si>
    <t>SHEILA SOUZA</t>
  </si>
  <si>
    <t xml:space="preserve">MARIA BEATRIZ </t>
  </si>
  <si>
    <t>VITOR HUGO</t>
  </si>
  <si>
    <t>KAUANE</t>
  </si>
  <si>
    <t>JADE</t>
  </si>
  <si>
    <t xml:space="preserve">GUSTAVO </t>
  </si>
  <si>
    <t>NATALY</t>
  </si>
  <si>
    <t>GIOVANA HARA</t>
  </si>
  <si>
    <t>ENZO</t>
  </si>
  <si>
    <t>POLI POCKET</t>
  </si>
  <si>
    <t>HELENA MANKORA</t>
  </si>
  <si>
    <t>YASMIN ROZEIRA</t>
  </si>
  <si>
    <t>MANUELA</t>
  </si>
  <si>
    <t>CAROLINA ALBURQUERQUE</t>
  </si>
  <si>
    <t>GEOVANA HELENA</t>
  </si>
  <si>
    <t>MARIA EDUARDA MIGRIORI</t>
  </si>
  <si>
    <t>ANDRESSA OLIVEIRA</t>
  </si>
  <si>
    <t>MILENA</t>
  </si>
  <si>
    <t>JOYCE</t>
  </si>
  <si>
    <t>AGATHA FORTUNATO</t>
  </si>
  <si>
    <t>OVO ESPEC. NUTTELA 350G</t>
  </si>
  <si>
    <t>GABRIELLI SENA</t>
  </si>
  <si>
    <t>RAISSA NASCIMENTO</t>
  </si>
  <si>
    <t>RHYLAINE KAROLINA</t>
  </si>
  <si>
    <t>SABRINA PEREIRA</t>
  </si>
  <si>
    <t>THAYNARA BIANCA</t>
  </si>
  <si>
    <t>NYLCE</t>
  </si>
  <si>
    <t>ANGEL JENIFER</t>
  </si>
  <si>
    <t>DUDA BARBOSA</t>
  </si>
  <si>
    <t>WALMIR</t>
  </si>
  <si>
    <t>RAQUEL MOURA</t>
  </si>
  <si>
    <t>OVO TRAD. BEIJINHO 350G</t>
  </si>
  <si>
    <t>OVO ESPEC. KINDER 350G</t>
  </si>
  <si>
    <t>OVO ESPEC. NUTTELA 500G</t>
  </si>
  <si>
    <t>OVO TRAD. NINHO C/ MORANGO 250G</t>
  </si>
  <si>
    <t>OVO TRUF. MARACUJA 250G</t>
  </si>
  <si>
    <t>OVO ESPEC. KINDER 250G</t>
  </si>
  <si>
    <t>OVO TRAD. SUPRESA DE UVA 500G</t>
  </si>
  <si>
    <t>LARISSA DE MELO</t>
  </si>
  <si>
    <t>20/03/2025</t>
  </si>
  <si>
    <t>21/03/2025</t>
  </si>
  <si>
    <t>25/03/2025</t>
  </si>
  <si>
    <t>26/03/2025</t>
  </si>
  <si>
    <t>27/03/2025</t>
  </si>
  <si>
    <t>28/03/2025</t>
  </si>
  <si>
    <t>SURPRESA DE UVA</t>
  </si>
  <si>
    <t>AMANDA</t>
  </si>
  <si>
    <t>OVO TRAD. BEIJINHO 250G</t>
  </si>
  <si>
    <t>OVO TRUF. BRIGADEIRO 250G</t>
  </si>
  <si>
    <t xml:space="preserve">GUSTAVO SANTOS </t>
  </si>
  <si>
    <t>LARISSA DANTAS DA SILVA</t>
  </si>
  <si>
    <t>TORTA</t>
  </si>
  <si>
    <t>19/03/2025</t>
  </si>
  <si>
    <t>PAULA CRISTINA</t>
  </si>
  <si>
    <t>THAUANY DOS SANTOS MARTINS</t>
  </si>
  <si>
    <t>16/03/2025</t>
  </si>
  <si>
    <t>VITHORIA CAROLLINY SANTANA DA SILVA</t>
  </si>
  <si>
    <t>17/03/2025</t>
  </si>
  <si>
    <t>14/03/2025</t>
  </si>
  <si>
    <t>23/03/2025</t>
  </si>
  <si>
    <t>31/03/2025</t>
  </si>
  <si>
    <t>DYOVANNA JANUARIO MARCHESE</t>
  </si>
  <si>
    <t>ACACIO MATHEUS GOMES DE CARVALHO</t>
  </si>
  <si>
    <t>COPO</t>
  </si>
  <si>
    <t>SIM</t>
  </si>
  <si>
    <t>NO PIX</t>
  </si>
  <si>
    <t>AILTON SILVA</t>
  </si>
  <si>
    <t>ALEX NUNES DE SOUZA</t>
  </si>
  <si>
    <t>18/03/2025</t>
  </si>
  <si>
    <t>29/03/2025</t>
  </si>
  <si>
    <t>ALINE BARBOSA DA SILVA</t>
  </si>
  <si>
    <t xml:space="preserve">ALINE FERREIRA </t>
  </si>
  <si>
    <t>ALINE TEIXEIRA</t>
  </si>
  <si>
    <t>ALLAN ALVES DE PAULO</t>
  </si>
  <si>
    <t xml:space="preserve">DESCONTO </t>
  </si>
  <si>
    <t>AMANDA FREIRE</t>
  </si>
  <si>
    <t>AMANDA FREIRE DA SILVA SOUZA</t>
  </si>
  <si>
    <t>ANA</t>
  </si>
  <si>
    <t>13/03/2025</t>
  </si>
  <si>
    <t>ANA BEATRIZ</t>
  </si>
  <si>
    <t xml:space="preserve">ANA BEATRIZ </t>
  </si>
  <si>
    <t>ANA C. MOURA</t>
  </si>
  <si>
    <t>ANA KAROLINE REIS VERONICO</t>
  </si>
  <si>
    <t>ANA KAROLINE REIS</t>
  </si>
  <si>
    <t>ANA LAURA</t>
  </si>
  <si>
    <t>24/03/2025</t>
  </si>
  <si>
    <t>ANA SOPHIA</t>
  </si>
  <si>
    <t>ANA SOUSA</t>
  </si>
  <si>
    <t>ANA VITORIA</t>
  </si>
  <si>
    <t>ANDRESSA CRISTINE</t>
  </si>
  <si>
    <t>ANDRESSA SOUSA VIEIRA</t>
  </si>
  <si>
    <t xml:space="preserve">ANDREW  </t>
  </si>
  <si>
    <t>ANONIMO</t>
  </si>
  <si>
    <t>EM DINHEIRO</t>
  </si>
  <si>
    <t>BEATRIZ DE PAULA</t>
  </si>
  <si>
    <t>BEATRIZ MAGALHAES</t>
  </si>
  <si>
    <t>BEATRIZ RIBEIRO</t>
  </si>
  <si>
    <t>BEATRIZ TALISSA</t>
  </si>
  <si>
    <t>BIA TREINAMENTO</t>
  </si>
  <si>
    <t>BRUNA CHRISTIANO</t>
  </si>
  <si>
    <t>BRUNA FERNANDA DA SILVEIRA TOTH</t>
  </si>
  <si>
    <t xml:space="preserve">BRUNO </t>
  </si>
  <si>
    <t>BRUNO DE OLIVEIRA</t>
  </si>
  <si>
    <t>ISADORA COBRAR</t>
  </si>
  <si>
    <t>CAMILA HELENA DOS SANTOS VIEIRA</t>
  </si>
  <si>
    <t>CAMILA OLIVEIRA</t>
  </si>
  <si>
    <t>CAMILLA ALMEIDA SILVA</t>
  </si>
  <si>
    <t>CARLA GABRIELLY DE OLIVEIRA LOPES</t>
  </si>
  <si>
    <t>22/03/2025</t>
  </si>
  <si>
    <t xml:space="preserve">CAROLINA LOURENÇO </t>
  </si>
  <si>
    <t>CAROLINE LOURENÇO</t>
  </si>
  <si>
    <t>CAUAN</t>
  </si>
  <si>
    <t>CAUAN MARQUES DOS SANTOS</t>
  </si>
  <si>
    <t>CIARA RAQUEL SANTOS DA SILVA</t>
  </si>
  <si>
    <t>COBRADO</t>
  </si>
  <si>
    <t>DAIANE APOLONIO BISPO DOS SANTOS</t>
  </si>
  <si>
    <t>DANIELA CAROLINE RODRIGUES DIAS</t>
  </si>
  <si>
    <t>DANIELA CAROLINE RODRIGUES FERREIRA</t>
  </si>
  <si>
    <t>DANILO LIMA</t>
  </si>
  <si>
    <t>DENISE TOMAS FERREIRA</t>
  </si>
  <si>
    <t>DISLANY DE JESUS SILVA</t>
  </si>
  <si>
    <t>VAI PAGAR NO PIX DE PAPEL</t>
  </si>
  <si>
    <t>DUDA NOVA</t>
  </si>
  <si>
    <t>EDILAINE</t>
  </si>
  <si>
    <t>ERIC HENRIQUE TOMAZ</t>
  </si>
  <si>
    <t>ERICK CAIQUE</t>
  </si>
  <si>
    <t>ERIKA VANESSA</t>
  </si>
  <si>
    <t>EVELIN FRANCINE CAMPOS</t>
  </si>
  <si>
    <t>EVELIN KAUANE ALVES DE MATTOS</t>
  </si>
  <si>
    <t>EVELYN AGUIAR DA SILVA</t>
  </si>
  <si>
    <t>FABIANA</t>
  </si>
  <si>
    <t>FABIOLA ALVES FERREIRA</t>
  </si>
  <si>
    <t>FABIOLA FREIRE DA SILVA</t>
  </si>
  <si>
    <t>FELIPE ANDRADE</t>
  </si>
  <si>
    <t>BOLO 2</t>
  </si>
  <si>
    <t>FELIPE DE SIQUEIRA</t>
  </si>
  <si>
    <t>FERNANDA RODRIGUES RUBERTO</t>
  </si>
  <si>
    <t>FERNANDO GARCIA DA SILVA</t>
  </si>
  <si>
    <t>GABRIEL MISAEL DOS SANTOS COSTA</t>
  </si>
  <si>
    <t>GABRIELA FEITOSA</t>
  </si>
  <si>
    <t>GIOVANA MYASHIRO</t>
  </si>
  <si>
    <t>GLADSON CARLOS SANTOS DA SILVA</t>
  </si>
  <si>
    <t xml:space="preserve">GUSTAVO HUMBERTO </t>
  </si>
  <si>
    <t xml:space="preserve">HELENA  </t>
  </si>
  <si>
    <t>HELLRIN</t>
  </si>
  <si>
    <t>HINGRIS CRISTINA DA SILVA DIAS</t>
  </si>
  <si>
    <t>MAIO?</t>
  </si>
  <si>
    <t>IARA BRAGA</t>
  </si>
  <si>
    <t>ISABELA RODRIGUES BRUM</t>
  </si>
  <si>
    <t>cobrado</t>
  </si>
  <si>
    <t>ISADORA FERNANDA LEAL</t>
  </si>
  <si>
    <t>JERUSA</t>
  </si>
  <si>
    <t>JESSICA OLIVEIRA</t>
  </si>
  <si>
    <t>JHENIFFER FERREIRA DE OLIVEIRA MOURA</t>
  </si>
  <si>
    <t>JOSELIR FRANCISCO JUNIOR</t>
  </si>
  <si>
    <t>PAGOU $2 A MAIS NO PIX</t>
  </si>
  <si>
    <t>JOYCE CRISTINE ANDRÉ</t>
  </si>
  <si>
    <t xml:space="preserve">JUAN </t>
  </si>
  <si>
    <t>JUAN SUPER</t>
  </si>
  <si>
    <t>JULIA DOS SANTOS PORFIRIO</t>
  </si>
  <si>
    <t>JULIANA CESAR</t>
  </si>
  <si>
    <t>JUNIOR CLAUDIO</t>
  </si>
  <si>
    <t>KAREN</t>
  </si>
  <si>
    <t>KARINNA DONA LOJA</t>
  </si>
  <si>
    <t>KAROLINA BERGAMO</t>
  </si>
  <si>
    <t>KAROLINE</t>
  </si>
  <si>
    <t>KELLY CRISTINA</t>
  </si>
  <si>
    <t>KEROLINE FARIAS</t>
  </si>
  <si>
    <t>KEVIN CODONHO</t>
  </si>
  <si>
    <t>PAGO NO DINHEIRO - NÃO TEM NUMÉRO</t>
  </si>
  <si>
    <t>LARISSA BAIXINHA</t>
  </si>
  <si>
    <t>MAIO</t>
  </si>
  <si>
    <t>AJUSTADO VALOR PARA DAR BAIXA NA COMANDA</t>
  </si>
  <si>
    <t>LARISSA FERNANDA</t>
  </si>
  <si>
    <t>LARISSA RODRIGUES NASCIMENTO</t>
  </si>
  <si>
    <t>LAUREN</t>
  </si>
  <si>
    <t>LAVINIA SANTOS DE SOUZA</t>
  </si>
  <si>
    <t>LETICIA GLORIA</t>
  </si>
  <si>
    <t>LETICIA SOARES DOS SANTOS SILVA</t>
  </si>
  <si>
    <t>revisar</t>
  </si>
  <si>
    <t>LIVIA BATISTA</t>
  </si>
  <si>
    <t>LIVIA MARIA</t>
  </si>
  <si>
    <t>LIVIA CAROLINA</t>
  </si>
  <si>
    <t>PAGAR 21/03</t>
  </si>
  <si>
    <t>LUAN DE SOUZA FERREIRA</t>
  </si>
  <si>
    <t>LUCAS SALLES ANTONIO DE FREITAS</t>
  </si>
  <si>
    <t>LUCIANA</t>
  </si>
  <si>
    <t>LUCIANA TEREZA DA SILVA</t>
  </si>
  <si>
    <t xml:space="preserve">LUISA BEZERRA GONCALVES DA SILVA </t>
  </si>
  <si>
    <t>LUIZ FELIPE</t>
  </si>
  <si>
    <t>MAIKON</t>
  </si>
  <si>
    <t>MARCELA TAKEDA</t>
  </si>
  <si>
    <t>MARCELLA</t>
  </si>
  <si>
    <t>MARCIA SANTOS</t>
  </si>
  <si>
    <t>MARCINHA</t>
  </si>
  <si>
    <t xml:space="preserve">MARCOS </t>
  </si>
  <si>
    <t>MARIA EDUARDA BARRETO DE PAULA</t>
  </si>
  <si>
    <t>MARIA EDUARDA REIS</t>
  </si>
  <si>
    <t xml:space="preserve">MARIA EDUARDA SILVA </t>
  </si>
  <si>
    <t>JÁ SABE</t>
  </si>
  <si>
    <t>MARACUJÁ</t>
  </si>
  <si>
    <t>MARIANA ALVES</t>
  </si>
  <si>
    <t>MATEUS RODRIGUES</t>
  </si>
  <si>
    <t xml:space="preserve">MATHEUS AMARAL </t>
  </si>
  <si>
    <t>MATHEUS CACHOS</t>
  </si>
  <si>
    <t>MATHEUS GABRIEL BOMFIM DO AMPARO RODRIGUES</t>
  </si>
  <si>
    <t>fez pix de $80 a mais para pagar comandas da ka  e isa</t>
  </si>
  <si>
    <t>MATHEUS MOREIRA</t>
  </si>
  <si>
    <t>MELISSA AMORIM</t>
  </si>
  <si>
    <t>MELISSA GONÇALVES</t>
  </si>
  <si>
    <t>MELISSA RODRIGUES DA SILVA</t>
  </si>
  <si>
    <t>MICHELE</t>
  </si>
  <si>
    <t>MILENA LOURENÇO</t>
  </si>
  <si>
    <t>COPO DEF</t>
  </si>
  <si>
    <t>MIRIAM MOREIRA DOS SANTOS</t>
  </si>
  <si>
    <t>*PAGOU NO DINHEIRO * NOTA DE 20 TROCO PARA 124 NÃO INFORMOU TELEFONE</t>
  </si>
  <si>
    <t xml:space="preserve">NAYARA APARECIDA CARDOSO DOS SANTOS </t>
  </si>
  <si>
    <t>NAIARA OUTRA</t>
  </si>
  <si>
    <t>NAIRA MAGRA</t>
  </si>
  <si>
    <t>NATHAXA DANIELY FERREIRA DA COSTA</t>
  </si>
  <si>
    <t>NAYARA DOS SANTOS CARDOZO</t>
  </si>
  <si>
    <t xml:space="preserve">NICOLAS COSTA ASSUNCAO </t>
  </si>
  <si>
    <t>NICOLE SUPORTE</t>
  </si>
  <si>
    <t>NOEMI VITORIA</t>
  </si>
  <si>
    <t>PALOMA LUIZ BOTELHO</t>
  </si>
  <si>
    <t>RAISSA SANTOS</t>
  </si>
  <si>
    <t>RAQUEL</t>
  </si>
  <si>
    <t>RENATINHO</t>
  </si>
  <si>
    <t>RITA CASSIA</t>
  </si>
  <si>
    <t>ROBERT WOLPE ROCHA SILVA</t>
  </si>
  <si>
    <t xml:space="preserve">RUAN  </t>
  </si>
  <si>
    <t>SABRINA</t>
  </si>
  <si>
    <t>SABRINA CACHOS</t>
  </si>
  <si>
    <t>SARA (BRANQUINHA)</t>
  </si>
  <si>
    <t>SARAH ARIADNY LUARA DA SILVA</t>
  </si>
  <si>
    <t>SHARA</t>
  </si>
  <si>
    <t>SILVIA</t>
  </si>
  <si>
    <t>SUPER AMANDA</t>
  </si>
  <si>
    <t>SUPER ELIS</t>
  </si>
  <si>
    <t>SUPER YASMIN</t>
  </si>
  <si>
    <t>TAINARA</t>
  </si>
  <si>
    <t>TALIAS</t>
  </si>
  <si>
    <t>TATIANE APARECIDA BATISTA</t>
  </si>
  <si>
    <t>TAUANE DOS SANTOS SILVA</t>
  </si>
  <si>
    <t>THAIS PEQUENO</t>
  </si>
  <si>
    <t>THAYNA VITORIA DIAS DOS SANTOS</t>
  </si>
  <si>
    <t>THAYNARA</t>
  </si>
  <si>
    <t>VICTORIA CRISTINA DOS SANTOS</t>
  </si>
  <si>
    <t>VITOR APARECIDO</t>
  </si>
  <si>
    <t>VITORIA DURAES</t>
  </si>
  <si>
    <t xml:space="preserve">VITORIA SHEN  </t>
  </si>
  <si>
    <t>VITORIA TENORIO</t>
  </si>
  <si>
    <t>WIND</t>
  </si>
  <si>
    <t>YNAUE INARA MIRANDA</t>
  </si>
  <si>
    <t xml:space="preserve">THAIS MILENA RAMOS DOS SANTOS </t>
  </si>
  <si>
    <t>CX DOCE COLOCO BOLO APENAS PARA SABER QUANTO ANA DEVE</t>
  </si>
  <si>
    <t>JOÃO</t>
  </si>
  <si>
    <t>DANIELA</t>
  </si>
  <si>
    <t>MARIANA</t>
  </si>
  <si>
    <t>GABRIELA</t>
  </si>
  <si>
    <t>CINTIA</t>
  </si>
  <si>
    <t>LINDSAY</t>
  </si>
  <si>
    <t>MARIA EDUARDA</t>
  </si>
  <si>
    <t>VITOR</t>
  </si>
  <si>
    <t>MIRIAM</t>
  </si>
  <si>
    <t>EDP</t>
  </si>
  <si>
    <t>FABIOLA ALVES</t>
  </si>
  <si>
    <t>NATALIA</t>
  </si>
  <si>
    <t>COBRAR DIA 20</t>
  </si>
  <si>
    <t>CAROL GUIMARÃES</t>
  </si>
  <si>
    <t>ABRIL - 16 REAIS</t>
  </si>
  <si>
    <t>MARJORIE</t>
  </si>
  <si>
    <t>VIVIAN DA SILVA</t>
  </si>
  <si>
    <t>NÃO RESPONDEU</t>
  </si>
  <si>
    <t>THAI AMARA</t>
  </si>
  <si>
    <t>THAUANY DOS SANTOS</t>
  </si>
  <si>
    <t>THAMYS ASAFE</t>
  </si>
  <si>
    <t>GLAUCIA</t>
  </si>
  <si>
    <t>KAUANY</t>
  </si>
  <si>
    <t>ARTHUR TAVARES</t>
  </si>
  <si>
    <t>VICTOR CONCEIÇÃO</t>
  </si>
  <si>
    <t>ADILSON DOS SANTOS</t>
  </si>
  <si>
    <t>BIANCA SUP</t>
  </si>
  <si>
    <t>ANDRESSA</t>
  </si>
  <si>
    <t>MURILO</t>
  </si>
  <si>
    <t>MARIA RITA</t>
  </si>
  <si>
    <t>AMANDA CORDEIRO</t>
  </si>
  <si>
    <t>ANA TEIXEIRA</t>
  </si>
  <si>
    <t>VINICIUS CORRETOR</t>
  </si>
  <si>
    <t>PROF</t>
  </si>
  <si>
    <t>PEGAR N°</t>
  </si>
  <si>
    <t>MAYARA LEITE</t>
  </si>
  <si>
    <t>MARIA LUIZA PEREIRA</t>
  </si>
  <si>
    <t>ANDRÉ PROF</t>
  </si>
  <si>
    <t>DOUGLAS</t>
  </si>
  <si>
    <t>DOMINGOS</t>
  </si>
  <si>
    <t>CARLINHOS SALGADOS</t>
  </si>
  <si>
    <t>CAMILA DO CARLINHOS</t>
  </si>
  <si>
    <t>ESMERALDA</t>
  </si>
  <si>
    <t>MARCIO</t>
  </si>
  <si>
    <t>HINGRIS CRISTINA</t>
  </si>
  <si>
    <t>KARINA PESSOA</t>
  </si>
  <si>
    <t>LÍVIA MARIA</t>
  </si>
  <si>
    <t>ELIZABETH</t>
  </si>
  <si>
    <t>DYOVANNA JANUARIO</t>
  </si>
  <si>
    <t>NAYARA CARDOSO</t>
  </si>
  <si>
    <t>INAUE</t>
  </si>
  <si>
    <t>FERNANDA RODRIGUES</t>
  </si>
  <si>
    <t>NÃO CHEGOU A MSG</t>
  </si>
  <si>
    <t>STEPHANY MENEZES</t>
  </si>
  <si>
    <t>DIA 25/03 COBRAR R$ 46</t>
  </si>
  <si>
    <t>ALINNE OLIVEIRA</t>
  </si>
  <si>
    <t>MARCIA</t>
  </si>
  <si>
    <t>BOLO PROMO</t>
  </si>
  <si>
    <t>LEONARDO LAGANO</t>
  </si>
  <si>
    <t>NANA HELFSTEIN</t>
  </si>
  <si>
    <t>JEAN CARLOS SUP</t>
  </si>
  <si>
    <t>GISELE LEMES</t>
  </si>
  <si>
    <t>RUAN LEITE</t>
  </si>
  <si>
    <t>EDP E REVIS</t>
  </si>
  <si>
    <t>CAROL SIQUEIRA</t>
  </si>
  <si>
    <t>ISABELA FERREIRA</t>
  </si>
  <si>
    <t>VICTOR CASTRO</t>
  </si>
  <si>
    <t>JOYCE CRISTINE</t>
  </si>
  <si>
    <t>THAYNA VITORIA</t>
  </si>
  <si>
    <t>EVELYN AGUIAR</t>
  </si>
  <si>
    <t>LAVINIA</t>
  </si>
  <si>
    <t>MARIA CHRISTINA</t>
  </si>
  <si>
    <t>GABRIELLE</t>
  </si>
  <si>
    <t>MARCIA APARECIDA</t>
  </si>
  <si>
    <t>TORTA PROMO</t>
  </si>
  <si>
    <t>VITÓRIA MARIA</t>
  </si>
  <si>
    <t>YASMIN LUIZA</t>
  </si>
  <si>
    <t>MIRIAM DE ARAUJO</t>
  </si>
  <si>
    <t>COBRAR DIA 22</t>
  </si>
  <si>
    <t>NATHAXA DANIELY</t>
  </si>
  <si>
    <t>SURPRESA</t>
  </si>
  <si>
    <t>DANIELA CAROLINE</t>
  </si>
  <si>
    <t>ELIZABETH STEFANY</t>
  </si>
  <si>
    <t>JOYCE JAMILY</t>
  </si>
  <si>
    <t>BEIJINHO</t>
  </si>
  <si>
    <t>LARISSA DANTAS</t>
  </si>
  <si>
    <t>MARIANA BERENGUEL</t>
  </si>
  <si>
    <t>MARJO</t>
  </si>
  <si>
    <t>MARJ PAGOU $50  DE $76  - FALTA $26</t>
  </si>
  <si>
    <t>MARIA EDUARDA SILVA</t>
  </si>
  <si>
    <t>BRIG/SURPRE</t>
  </si>
  <si>
    <t>LIMÃO</t>
  </si>
  <si>
    <t>MELISSA RODRIGUES</t>
  </si>
  <si>
    <t>SEM COMPROVANTE</t>
  </si>
  <si>
    <t>JOANA CAMILO</t>
  </si>
  <si>
    <t>LAVIGNE</t>
  </si>
  <si>
    <t>ISABELA RODRIGUES</t>
  </si>
  <si>
    <t>EMILLY RODRIGUES</t>
  </si>
  <si>
    <t>DAIANE APOLONIO</t>
  </si>
  <si>
    <t>GABY SMART</t>
  </si>
  <si>
    <t>BRIGADEIRO - COBRAR DIA 22</t>
  </si>
  <si>
    <t>NAIARA CLAUDINO</t>
  </si>
  <si>
    <t>COBRAR DIA 15</t>
  </si>
  <si>
    <t>NICOLI SUPORTE</t>
  </si>
  <si>
    <t>JESSICA SUPER</t>
  </si>
  <si>
    <t>LUISA BEZERRA</t>
  </si>
  <si>
    <t>MARCELI</t>
  </si>
  <si>
    <t>VICTOR LEON</t>
  </si>
  <si>
    <t>RAIANE</t>
  </si>
  <si>
    <t>CIARA</t>
  </si>
  <si>
    <t>CINTIA FRANCISCA</t>
  </si>
  <si>
    <t>GRAZIELLY</t>
  </si>
  <si>
    <t xml:space="preserve">NATHALY </t>
  </si>
  <si>
    <t>ELISANDRA</t>
  </si>
  <si>
    <t>JAINE</t>
  </si>
  <si>
    <t>11939338194</t>
  </si>
  <si>
    <t>BRUNA</t>
  </si>
  <si>
    <t xml:space="preserve">JEFF </t>
  </si>
  <si>
    <t>MARIA EDUARDA BARRETO</t>
  </si>
  <si>
    <t>DANI MINIONS</t>
  </si>
  <si>
    <t>MIRIAM MOREIRA</t>
  </si>
  <si>
    <t>AJUSTADO VALOR DA CX PARA ORGNIZAR CONTA</t>
  </si>
  <si>
    <t>ROSELAINE</t>
  </si>
  <si>
    <t>ROBERTA</t>
  </si>
  <si>
    <t>VITORIA ANDREINA</t>
  </si>
  <si>
    <t>LUIZ</t>
  </si>
  <si>
    <t>ELZIR</t>
  </si>
  <si>
    <t>JULIA</t>
  </si>
  <si>
    <t>AMIGA BIA</t>
  </si>
  <si>
    <t>ANDRE COORDENADOR</t>
  </si>
  <si>
    <t>RENATA MAGALY</t>
  </si>
  <si>
    <t xml:space="preserve"> THAIS PEQUENO</t>
  </si>
  <si>
    <t>SUPER MALU</t>
  </si>
  <si>
    <t>NATALI PIRES</t>
  </si>
  <si>
    <t xml:space="preserve">CARINE </t>
  </si>
  <si>
    <t>MALE</t>
  </si>
  <si>
    <t>ANDRESSA EDP</t>
  </si>
  <si>
    <t>LUCAS SALLES</t>
  </si>
  <si>
    <t>11992026761</t>
  </si>
  <si>
    <t>VICTORIA CRISTINA</t>
  </si>
  <si>
    <t>11954863506</t>
  </si>
  <si>
    <t>EMILY SUPER</t>
  </si>
  <si>
    <t>11993981051</t>
  </si>
  <si>
    <t>MARIA LUIZA RIOS</t>
  </si>
  <si>
    <t>11941460902</t>
  </si>
  <si>
    <t>SIMONE</t>
  </si>
  <si>
    <t>11962831269</t>
  </si>
  <si>
    <t>CABELINHO</t>
  </si>
  <si>
    <t>DAIANE NASC.</t>
  </si>
  <si>
    <t>11947697483</t>
  </si>
  <si>
    <t>ANIVERSARIO</t>
  </si>
  <si>
    <t>PRINCESA TINARA</t>
  </si>
  <si>
    <t>11991730395</t>
  </si>
  <si>
    <t>MANDAR AMANHA</t>
  </si>
  <si>
    <t>TATI CLIENTE</t>
  </si>
  <si>
    <t xml:space="preserve">ISADORA </t>
  </si>
  <si>
    <t>11933588520</t>
  </si>
  <si>
    <t>MARCELO</t>
  </si>
  <si>
    <t>RECEITA X CUSTO</t>
  </si>
  <si>
    <t>fffffffffff</t>
  </si>
  <si>
    <t>PRODUTOS</t>
  </si>
  <si>
    <t>CUSTO EMBALAGEM CAIXAS DOCES</t>
  </si>
  <si>
    <t>CUSTO EMBALAGEM BOLOS / TORTINHAS</t>
  </si>
  <si>
    <t>CUSTO EMBALAGEM OVOS</t>
  </si>
  <si>
    <t>ff</t>
  </si>
  <si>
    <t>ITEM</t>
  </si>
  <si>
    <t>VALOR UNITÁRIO</t>
  </si>
  <si>
    <t>forma</t>
  </si>
  <si>
    <t>embalagem</t>
  </si>
  <si>
    <t>tapete</t>
  </si>
  <si>
    <t>BOMBOM DE POTE UVA</t>
  </si>
  <si>
    <t>TRUFA UVA</t>
  </si>
  <si>
    <t xml:space="preserve">TRUFA MARACUJA </t>
  </si>
  <si>
    <t>BOLO CHOLATUDO</t>
  </si>
  <si>
    <t>BOLO MARACUJINA</t>
  </si>
  <si>
    <t>BOLO SENSAÇÃO</t>
  </si>
  <si>
    <t>brigadeiro</t>
  </si>
  <si>
    <t>i</t>
  </si>
  <si>
    <t>beijinho</t>
  </si>
  <si>
    <t>supresa de uva</t>
  </si>
  <si>
    <t>INGREDIENTE</t>
  </si>
  <si>
    <t>QTD/GRAMAS</t>
  </si>
  <si>
    <t>VALOR UNITÁRIO/KG</t>
  </si>
  <si>
    <t>leite condesando</t>
  </si>
  <si>
    <t>coco granulado</t>
  </si>
  <si>
    <t xml:space="preserve">COPO </t>
  </si>
  <si>
    <t>creme de leite</t>
  </si>
  <si>
    <t>leite condensado</t>
  </si>
  <si>
    <t>manteiga</t>
  </si>
  <si>
    <t xml:space="preserve">creme de leite </t>
  </si>
  <si>
    <t>OVO TRAD. SUPRESA DE UVA 250G</t>
  </si>
  <si>
    <t>cholate em pó</t>
  </si>
  <si>
    <t>LEITE EM PÓ</t>
  </si>
  <si>
    <t>CAIXA DE UVA</t>
  </si>
  <si>
    <t>OVO TRAD. SENSAÇÃO 250G</t>
  </si>
  <si>
    <t>OVO TRAD. NINHO C/ MORANGO 350G</t>
  </si>
  <si>
    <t>OVO TRAD. SUPRESA DE UVA 350G</t>
  </si>
  <si>
    <t>BOLO CHOCOLATUDO</t>
  </si>
  <si>
    <t>OVO TRAD. SENSAÇÃO 350G</t>
  </si>
  <si>
    <t>OVO TRAD. NINHO C/ MORANGO 500G</t>
  </si>
  <si>
    <t>OVO TRAD. BEIJINHO 500G</t>
  </si>
  <si>
    <t>OVO TRAD. SENSAÇÃO 500G</t>
  </si>
  <si>
    <t>OVO</t>
  </si>
  <si>
    <t xml:space="preserve">LEITE  </t>
  </si>
  <si>
    <t>OVO TRUF. BRIGADEIRO 350G</t>
  </si>
  <si>
    <t>SUCO EM PÓ</t>
  </si>
  <si>
    <t>OVO TRUF. MARACUJA 350G</t>
  </si>
  <si>
    <t>EMUSIFICANTE</t>
  </si>
  <si>
    <t>OVO TRUF. BRIGADEIRO 500G</t>
  </si>
  <si>
    <t>OVO TRUF. MARACUJA 500G</t>
  </si>
  <si>
    <t>MARACUJA</t>
  </si>
  <si>
    <t>GRANULADO</t>
  </si>
  <si>
    <t>OVO ESPEC. KIT KAT 250G</t>
  </si>
  <si>
    <t>AÇUCAR</t>
  </si>
  <si>
    <t>OVO ESPEC. NUTTELA 250G</t>
  </si>
  <si>
    <t>OVO ESPEC. KIT KAT 350G</t>
  </si>
  <si>
    <t>OVO ESPEC. KIT KAT 500G</t>
  </si>
  <si>
    <t>OVO ESPEC. KINDER 500G</t>
  </si>
  <si>
    <t>11971295706</t>
  </si>
  <si>
    <t>11978001641</t>
  </si>
  <si>
    <t>8,95</t>
  </si>
  <si>
    <t>VENDEDOR 3</t>
  </si>
  <si>
    <t>PARCELADO 2</t>
  </si>
  <si>
    <t>VENDEDOR 4</t>
  </si>
  <si>
    <t>VENDEDOR 5</t>
  </si>
  <si>
    <t>11979558034</t>
  </si>
  <si>
    <t>11988357770</t>
  </si>
  <si>
    <t>0</t>
  </si>
  <si>
    <t>11930186413</t>
  </si>
  <si>
    <t>11971753575</t>
  </si>
  <si>
    <t>11942662420</t>
  </si>
  <si>
    <t>11949122992</t>
  </si>
  <si>
    <t>ANDRESSA SOUZA</t>
  </si>
  <si>
    <t>11995792896</t>
  </si>
  <si>
    <t>11942720594</t>
  </si>
  <si>
    <t>11934833418</t>
  </si>
  <si>
    <t>11910093103</t>
  </si>
  <si>
    <t>11948014969</t>
  </si>
  <si>
    <t>12996755373</t>
  </si>
  <si>
    <t>11943811963</t>
  </si>
  <si>
    <t>11993634590</t>
  </si>
  <si>
    <t>11917646052</t>
  </si>
  <si>
    <t>11912764053</t>
  </si>
  <si>
    <t>11967794972</t>
  </si>
  <si>
    <t>CAUAN DOS SANTPS TOLEDO</t>
  </si>
  <si>
    <t>11978361766</t>
  </si>
  <si>
    <t>11930111131</t>
  </si>
  <si>
    <t>11962474003</t>
  </si>
  <si>
    <t>11961383924</t>
  </si>
  <si>
    <t>11932597821</t>
  </si>
  <si>
    <t>11945840292</t>
  </si>
  <si>
    <t>11948873121</t>
  </si>
  <si>
    <t>11933901593</t>
  </si>
  <si>
    <t>11959248144</t>
  </si>
  <si>
    <t>11910033308</t>
  </si>
  <si>
    <t>11959812377</t>
  </si>
  <si>
    <t>11917450593</t>
  </si>
  <si>
    <t>11914892169</t>
  </si>
  <si>
    <t>11992762242</t>
  </si>
  <si>
    <t>11976104399</t>
  </si>
  <si>
    <t>11951000822</t>
  </si>
  <si>
    <t>11968571041</t>
  </si>
  <si>
    <t>11915146426</t>
  </si>
  <si>
    <t>11953578085</t>
  </si>
  <si>
    <t>11915071973</t>
  </si>
  <si>
    <t>11941268090</t>
  </si>
  <si>
    <t>11932055412</t>
  </si>
  <si>
    <t>11964330586</t>
  </si>
  <si>
    <t>11946028455</t>
  </si>
  <si>
    <t>11965512090</t>
  </si>
  <si>
    <t>11915759217</t>
  </si>
  <si>
    <t>11968760522</t>
  </si>
  <si>
    <t>11999987977</t>
  </si>
  <si>
    <t>11983607158</t>
  </si>
  <si>
    <t>11975784164</t>
  </si>
  <si>
    <t>11950928553</t>
  </si>
  <si>
    <t>11984972814</t>
  </si>
  <si>
    <t>11999688220</t>
  </si>
  <si>
    <t>11910135825</t>
  </si>
  <si>
    <t xml:space="preserve">KEVIN CODONHO </t>
  </si>
  <si>
    <t>11960235567</t>
  </si>
  <si>
    <t>11973616736</t>
  </si>
  <si>
    <t>11947131975</t>
  </si>
  <si>
    <t>11964862907</t>
  </si>
  <si>
    <t>11959072761</t>
  </si>
  <si>
    <t>11974122382</t>
  </si>
  <si>
    <t>11950391773</t>
  </si>
  <si>
    <t>11950319459</t>
  </si>
  <si>
    <t>11993519472</t>
  </si>
  <si>
    <t>11911469526</t>
  </si>
  <si>
    <t>11978048565</t>
  </si>
  <si>
    <t>11970263134</t>
  </si>
  <si>
    <t>11975037390</t>
  </si>
  <si>
    <t>11936182364</t>
  </si>
  <si>
    <t>11982673613</t>
  </si>
  <si>
    <t>11988971062</t>
  </si>
  <si>
    <t>11972042666</t>
  </si>
  <si>
    <t>11932566240</t>
  </si>
  <si>
    <t>11952748867</t>
  </si>
  <si>
    <t>11997809762</t>
  </si>
  <si>
    <t>11977140334</t>
  </si>
  <si>
    <t>11954988066</t>
  </si>
  <si>
    <t>11973439114</t>
  </si>
  <si>
    <t>11959434978</t>
  </si>
  <si>
    <t>11912257153</t>
  </si>
  <si>
    <t>11914797854</t>
  </si>
  <si>
    <t>11957849656</t>
  </si>
  <si>
    <t>13991588910</t>
  </si>
  <si>
    <t>11961005168</t>
  </si>
  <si>
    <t>11972383586</t>
  </si>
  <si>
    <t>11993237130</t>
  </si>
  <si>
    <t>11991695773</t>
  </si>
  <si>
    <t>11990199277</t>
  </si>
  <si>
    <t>11988916124</t>
  </si>
  <si>
    <t>11996345155</t>
  </si>
  <si>
    <t>11997902808</t>
  </si>
  <si>
    <t>11982757475</t>
  </si>
  <si>
    <t>11975644983</t>
  </si>
  <si>
    <t>11971701251</t>
  </si>
  <si>
    <t>11948155260</t>
  </si>
  <si>
    <t>11942998011</t>
  </si>
  <si>
    <t>11916115329</t>
  </si>
  <si>
    <t>11915808149</t>
  </si>
  <si>
    <t>11943191339</t>
  </si>
  <si>
    <t>11946123952</t>
  </si>
  <si>
    <t>24981125714</t>
  </si>
  <si>
    <t>11994748434</t>
  </si>
  <si>
    <t>11953072612</t>
  </si>
  <si>
    <t>11974917662</t>
  </si>
  <si>
    <t>11951505705</t>
  </si>
  <si>
    <t>11974870027</t>
  </si>
  <si>
    <t>11971875260</t>
  </si>
  <si>
    <t>11958686336</t>
  </si>
  <si>
    <t>11997138204</t>
  </si>
  <si>
    <t>11968682955</t>
  </si>
  <si>
    <t>11983258616</t>
  </si>
  <si>
    <t>11968544054</t>
  </si>
  <si>
    <t>11994428946</t>
  </si>
  <si>
    <t>11964783193</t>
  </si>
  <si>
    <t>11956495142</t>
  </si>
  <si>
    <t>11961245501</t>
  </si>
  <si>
    <t>11913545093</t>
  </si>
  <si>
    <t>11959200671</t>
  </si>
  <si>
    <t>11934345107</t>
  </si>
  <si>
    <t>11997856707</t>
  </si>
  <si>
    <t>11948781222</t>
  </si>
  <si>
    <t>11987676186</t>
  </si>
  <si>
    <t>11932614609</t>
  </si>
  <si>
    <t>11951621162</t>
  </si>
  <si>
    <t>11982875365</t>
  </si>
  <si>
    <t>11939544037</t>
  </si>
  <si>
    <t>11920071045</t>
  </si>
  <si>
    <t>11972873903</t>
  </si>
  <si>
    <t>11978214216</t>
  </si>
  <si>
    <t>11930268299</t>
  </si>
  <si>
    <t>11986163783</t>
  </si>
  <si>
    <t>11949399292</t>
  </si>
  <si>
    <t>11991326379</t>
  </si>
  <si>
    <t>11953199539</t>
  </si>
  <si>
    <t>11930404052</t>
  </si>
  <si>
    <t>11933741348</t>
  </si>
  <si>
    <t>11980203485</t>
  </si>
  <si>
    <t>11978239989</t>
  </si>
  <si>
    <t>11937333247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</si>
</sst>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1">
    <numFmt numFmtId="164" formatCode="dd/mm/yy"/>
  </numFmts>
  <fonts count="16" x14ac:knownFonts="1">
    <font>
      <sz val="11"/>
      <color theme="1"/>
      <name val="Calibri"/>
      <family val="2"/>
      <scheme val="minor"/>
    </font>
    <font>
      <b/>
      <sz val="11"/>
      <color rgb="FFb4e5a2"/>
      <name val="Aptos Narrow"/>
      <family val="2"/>
    </font>
    <font>
      <b/>
      <sz val="11"/>
      <color rgb="FF275417"/>
      <name val="Aptos Narrow"/>
      <family val="2"/>
    </font>
    <font>
      <sz val="11"/>
      <color theme="1"/>
      <name val="Calibri"/>
      <family val="2"/>
    </font>
    <font>
      <b/>
      <sz val="11"/>
      <color rgb="FF000000"/>
      <name val="Aptos Narrow"/>
      <family val="2"/>
    </font>
    <font>
      <sz val="12"/>
      <color rgb="FFffffff"/>
      <name val="Bauhaus 93"/>
      <family val="2"/>
    </font>
    <font>
      <sz val="11"/>
      <color rgb="FFffffff"/>
      <name val="Aptos Narrow"/>
      <family val="2"/>
    </font>
    <font>
      <sz val="16"/>
      <color rgb="FFffffff"/>
      <name val="Bauhaus 93"/>
      <family val="2"/>
    </font>
    <font>
      <sz val="20"/>
      <color rgb="FFffffff"/>
      <name val="Bauhaus 93"/>
      <family val="2"/>
    </font>
    <font>
      <sz val="18"/>
      <color rgb="FFffffff"/>
      <name val="Bauhaus 93"/>
      <family val="2"/>
    </font>
    <font>
      <sz val="16"/>
      <color rgb="FF80350e"/>
      <name val="Bauhaus 93"/>
      <family val="2"/>
    </font>
    <font>
      <sz val="16"/>
      <color rgb="FF000000"/>
      <name val="Bauhaus 93"/>
      <family val="2"/>
    </font>
    <font>
      <sz val="11"/>
      <color rgb="FF000000"/>
      <name val="Aptos Narrow"/>
      <family val="2"/>
    </font>
    <font>
      <sz val="26"/>
      <color rgb="FFffffff"/>
      <name val="Bauhaus 93"/>
      <family val="2"/>
    </font>
    <font>
      <b/>
      <sz val="11"/>
      <color rgb="FFffffff"/>
      <name val="Aptos Narrow"/>
      <family val="2"/>
    </font>
    <font>
      <sz val="14"/>
      <color rgb="FFffffff"/>
      <name val="Aptos Narrow"/>
      <family val="2"/>
    </font>
  </fonts>
  <fills count="40">
    <fill>
      <patternFill patternType="none"/>
    </fill>
    <fill>
      <patternFill patternType="gray125"/>
    </fill>
    <fill>
      <patternFill patternType="solid">
        <fgColor rgb="FF275417"/>
      </patternFill>
    </fill>
    <fill>
      <patternFill patternType="solid">
        <fgColor rgb="FFd9f2d0"/>
      </patternFill>
    </fill>
    <fill>
      <patternFill patternType="solid">
        <fgColor rgb="FF8ed973"/>
      </patternFill>
    </fill>
    <fill>
      <patternFill patternType="solid">
        <fgColor rgb="FFffffff"/>
      </patternFill>
    </fill>
    <fill>
      <patternFill patternType="solid">
        <fgColor rgb="FFa6a6a6"/>
      </patternFill>
    </fill>
    <fill>
      <patternFill patternType="solid">
        <fgColor rgb="FFc04f15"/>
      </patternFill>
    </fill>
    <fill>
      <patternFill patternType="solid">
        <fgColor rgb="FF0b77a0"/>
      </patternFill>
    </fill>
    <fill>
      <patternFill patternType="solid">
        <fgColor rgb="FF3b7d23"/>
      </patternFill>
    </fill>
    <fill>
      <patternFill patternType="solid">
        <fgColor rgb="FF000000"/>
      </patternFill>
    </fill>
    <fill>
      <patternFill patternType="solid">
        <fgColor rgb="FF7f7f7f"/>
      </patternFill>
    </fill>
    <fill>
      <patternFill patternType="solid">
        <fgColor rgb="FF404040"/>
      </patternFill>
    </fill>
    <fill>
      <patternFill patternType="solid">
        <fgColor rgb="FFf2aa84"/>
      </patternFill>
    </fill>
    <fill>
      <patternFill patternType="solid">
        <fgColor rgb="FF808080"/>
      </patternFill>
    </fill>
    <fill>
      <patternFill patternType="solid">
        <fgColor rgb="FF262626"/>
      </patternFill>
    </fill>
    <fill>
      <patternFill patternType="solid">
        <fgColor rgb="FF78206e"/>
      </patternFill>
    </fill>
    <fill>
      <patternFill patternType="solid">
        <fgColor rgb="FFd86ecc"/>
      </patternFill>
    </fill>
    <fill>
      <patternFill patternType="solid">
        <fgColor rgb="FFc00000"/>
      </patternFill>
    </fill>
    <fill>
      <patternFill patternType="solid">
        <fgColor rgb="FFff5050"/>
      </patternFill>
    </fill>
    <fill>
      <patternFill patternType="solid">
        <fgColor rgb="FF7030a0"/>
      </patternFill>
    </fill>
    <fill>
      <patternFill patternType="solid">
        <fgColor rgb="FFff0000"/>
      </patternFill>
    </fill>
    <fill>
      <patternFill patternType="solid">
        <fgColor rgb="FF0d3612"/>
      </patternFill>
    </fill>
    <fill>
      <patternFill patternType="solid">
        <fgColor rgb="FF13501b"/>
      </patternFill>
    </fill>
    <fill>
      <patternFill patternType="solid">
        <fgColor rgb="FF0e2841"/>
      </patternFill>
    </fill>
    <fill>
      <patternFill patternType="solid">
        <fgColor rgb="FF104862"/>
      </patternFill>
    </fill>
    <fill>
      <patternFill patternType="solid">
        <fgColor rgb="FF80350e"/>
      </patternFill>
    </fill>
    <fill>
      <patternFill patternType="solid">
        <fgColor rgb="FFe97132"/>
      </patternFill>
    </fill>
    <fill>
      <patternFill patternType="solid">
        <fgColor rgb="FF00b050"/>
      </patternFill>
    </fill>
    <fill>
      <patternFill patternType="solid">
        <fgColor rgb="FF0d3512"/>
      </patternFill>
    </fill>
    <fill>
      <patternFill patternType="solid">
        <fgColor rgb="FF800000"/>
      </patternFill>
    </fill>
    <fill>
      <patternFill patternType="solid">
        <fgColor rgb="FFaeaeae"/>
      </patternFill>
    </fill>
    <fill>
      <patternFill patternType="solid">
        <fgColor rgb="FF0d0d0d"/>
      </patternFill>
    </fill>
    <fill>
      <patternFill patternType="solid">
        <fgColor rgb="FF401809"/>
      </patternFill>
    </fill>
    <fill>
      <patternFill patternType="solid">
        <fgColor rgb="FFfff1c4"/>
      </patternFill>
    </fill>
    <fill>
      <patternFill patternType="solid">
        <fgColor rgb="FF92d050"/>
      </patternFill>
    </fill>
    <fill>
      <patternFill patternType="solid">
        <fgColor rgb="FFf6c6ad"/>
      </patternFill>
    </fill>
    <fill>
      <patternFill patternType="solid">
        <fgColor rgb="FF84e291"/>
      </patternFill>
    </fill>
    <fill>
      <patternFill patternType="solid">
        <fgColor rgb="FFffc000"/>
      </patternFill>
    </fill>
    <fill>
      <patternFill patternType="solid">
        <fgColor rgb="FFe59edd"/>
      </patternFill>
    </fill>
  </fills>
  <borders count="22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medium">
        <color rgb="FF0d3612"/>
      </bottom>
      <diagonal/>
    </border>
    <border>
      <left style="thin">
        <color rgb="FFc6c6c6"/>
      </left>
      <right style="thin">
        <color rgb="FFc6c6c6"/>
      </right>
      <top style="medium">
        <color rgb="FF0d3612"/>
      </top>
      <bottom style="medium">
        <color rgb="FF0d3612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000000"/>
      </left>
      <right style="thin">
        <color rgb="FFc6c6c6"/>
      </right>
      <top style="thin">
        <color rgb="FFc6c6c6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c6c6c6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46b1e1"/>
      </top>
      <bottom style="thin">
        <color rgb="FFc6c6c6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c6c6c6"/>
      </bottom>
      <diagonal/>
    </border>
    <border>
      <left style="thin">
        <color rgb="FF0d3612"/>
      </left>
      <right style="thin">
        <color rgb="FF0d3612"/>
      </right>
      <top style="thin">
        <color rgb="FF0d3612"/>
      </top>
      <bottom style="thin">
        <color rgb="FF0d3612"/>
      </bottom>
      <diagonal/>
    </border>
  </borders>
  <cellStyleXfs count="1">
    <xf numFmtId="0" fontId="0" fillId="0" borderId="0"/>
  </cellStyleXfs>
  <cellXfs count="249">
    <xf xfId="0" numFmtId="0" borderId="0" fontId="0" fillId="0"/>
    <xf xfId="0" numFmtId="0" borderId="0" fontId="0" fillId="0" applyAlignment="1">
      <alignment horizontal="general"/>
    </xf>
    <xf xfId="0" numFmtId="0" borderId="0" fontId="0" fillId="0" applyAlignment="1">
      <alignment horizontal="center"/>
    </xf>
    <xf xfId="0" numFmtId="7" applyNumberFormat="1" borderId="0" fontId="0" fillId="0" applyAlignment="1">
      <alignment horizontal="general"/>
    </xf>
    <xf xfId="0" numFmtId="0" borderId="1" applyBorder="1" fontId="1" applyFont="1" fillId="2" applyFill="1" applyAlignment="1">
      <alignment horizontal="center"/>
    </xf>
    <xf xfId="0" numFmtId="7" applyNumberFormat="1" borderId="2" applyBorder="1" fontId="2" applyFont="1" fillId="3" applyFill="1" applyAlignment="1">
      <alignment horizontal="center"/>
    </xf>
    <xf xfId="0" numFmtId="0" borderId="1" applyBorder="1" fontId="2" applyFont="1" fillId="4" applyFill="1" applyAlignment="1">
      <alignment horizontal="center"/>
    </xf>
    <xf xfId="0" numFmtId="7" applyNumberFormat="1" borderId="1" applyBorder="1" fontId="2" applyFont="1" fillId="4" applyFill="1" applyAlignment="1">
      <alignment horizontal="center"/>
    </xf>
    <xf xfId="0" numFmtId="0" borderId="1" applyBorder="1" fontId="3" applyFont="1" fillId="5" applyFill="1" applyAlignment="1">
      <alignment horizontal="center"/>
    </xf>
    <xf xfId="0" numFmtId="0" borderId="1" applyBorder="1" fontId="2" applyFont="1" fillId="4" applyFill="1" applyAlignment="1">
      <alignment horizontal="left"/>
    </xf>
    <xf xfId="0" numFmtId="7" applyNumberFormat="1" borderId="3" applyBorder="1" fontId="2" applyFont="1" fillId="3" applyFill="1" applyAlignment="1">
      <alignment horizontal="center"/>
    </xf>
    <xf xfId="0" numFmtId="0" borderId="0" fontId="0" fillId="0" applyAlignment="1">
      <alignment horizontal="general"/>
    </xf>
    <xf xfId="0" numFmtId="0" borderId="0" fontId="0" fillId="0" applyAlignment="1">
      <alignment horizontal="center"/>
    </xf>
    <xf xfId="0" numFmtId="7" applyNumberFormat="1" borderId="0" fontId="0" fillId="0" applyAlignment="1">
      <alignment horizontal="general"/>
    </xf>
    <xf xfId="0" numFmtId="0" borderId="1" applyBorder="1" fontId="4" applyFont="1" fillId="6" applyFill="1" applyAlignment="1">
      <alignment horizontal="center"/>
    </xf>
    <xf xfId="0" numFmtId="7" applyNumberFormat="1" borderId="1" applyBorder="1" fontId="4" applyFont="1" fillId="6" applyFill="1" applyAlignment="1">
      <alignment horizontal="center"/>
    </xf>
    <xf xfId="0" numFmtId="3" applyNumberFormat="1" borderId="1" applyBorder="1" fontId="4" applyFont="1" fillId="6" applyFill="1" applyAlignment="1">
      <alignment horizontal="center"/>
    </xf>
    <xf xfId="0" numFmtId="7" applyNumberFormat="1" borderId="0" fontId="0" fillId="0" applyAlignment="1">
      <alignment horizontal="center"/>
    </xf>
    <xf xfId="0" numFmtId="3" applyNumberFormat="1" borderId="0" fontId="0" fillId="0" applyAlignment="1">
      <alignment horizontal="center"/>
    </xf>
    <xf xfId="0" numFmtId="0" borderId="1" applyBorder="1" fontId="5" applyFont="1" fillId="7" applyFill="1" applyAlignment="1">
      <alignment horizontal="center" vertical="top"/>
    </xf>
    <xf xfId="0" numFmtId="7" applyNumberFormat="1" borderId="1" applyBorder="1" fontId="5" applyFont="1" fillId="8" applyFill="1" applyAlignment="1">
      <alignment horizontal="center"/>
    </xf>
    <xf xfId="0" numFmtId="3" applyNumberFormat="1" borderId="1" applyBorder="1" fontId="5" applyFont="1" fillId="8" applyFill="1" applyAlignment="1">
      <alignment horizontal="center"/>
    </xf>
    <xf xfId="0" numFmtId="7" applyNumberFormat="1" borderId="1" applyBorder="1" fontId="5" applyFont="1" fillId="9" applyFill="1" applyAlignment="1">
      <alignment horizontal="center"/>
    </xf>
    <xf xfId="0" numFmtId="3" applyNumberFormat="1" borderId="1" applyBorder="1" fontId="5" applyFont="1" fillId="5" applyFill="1" applyAlignment="1">
      <alignment horizontal="center"/>
    </xf>
    <xf xfId="0" numFmtId="3" applyNumberFormat="1" borderId="4" applyBorder="1" fontId="5" applyFont="1" fillId="7" applyFill="1" applyAlignment="1">
      <alignment horizontal="center"/>
    </xf>
    <xf xfId="0" numFmtId="7" applyNumberFormat="1" borderId="4" applyBorder="1" fontId="5" applyFont="1" fillId="10" applyFill="1" applyAlignment="1">
      <alignment horizontal="center"/>
    </xf>
    <xf xfId="0" numFmtId="7" applyNumberFormat="1" borderId="4" applyBorder="1" fontId="5" applyFont="1" fillId="7" applyFill="1" applyAlignment="1">
      <alignment horizontal="center"/>
    </xf>
    <xf xfId="0" numFmtId="0" borderId="5" applyBorder="1" fontId="6" applyFont="1" fillId="11" applyFill="1" applyAlignment="1">
      <alignment horizontal="center"/>
    </xf>
    <xf xfId="0" numFmtId="7" applyNumberFormat="1" borderId="5" applyBorder="1" fontId="3" applyFont="1" fillId="5" applyFill="1" applyAlignment="1">
      <alignment horizontal="center"/>
    </xf>
    <xf xfId="0" numFmtId="3" applyNumberFormat="1" borderId="5" applyBorder="1" fontId="3" applyFont="1" fillId="5" applyFill="1" applyAlignment="1">
      <alignment horizontal="center"/>
    </xf>
    <xf xfId="0" numFmtId="3" applyNumberFormat="1" borderId="1" applyBorder="1" fontId="5" applyFont="1" fillId="9" applyFill="1" applyAlignment="1">
      <alignment horizontal="center"/>
    </xf>
    <xf xfId="0" numFmtId="7" applyNumberFormat="1" borderId="1" applyBorder="1" fontId="5" applyFont="1" fillId="7" applyFill="1" applyAlignment="1">
      <alignment horizontal="center" vertical="top"/>
    </xf>
    <xf xfId="0" numFmtId="7" applyNumberFormat="1" borderId="1" applyBorder="1" fontId="3" applyFont="1" fillId="5" applyFill="1" applyAlignment="1">
      <alignment horizontal="center"/>
    </xf>
    <xf xfId="0" numFmtId="3" applyNumberFormat="1" borderId="1" applyBorder="1" fontId="3" applyFont="1" fillId="5" applyFill="1" applyAlignment="1">
      <alignment horizontal="center"/>
    </xf>
    <xf xfId="0" numFmtId="0" borderId="6" applyBorder="1" fontId="3" applyFont="1" fillId="0" applyAlignment="1">
      <alignment horizontal="center"/>
    </xf>
    <xf xfId="0" numFmtId="7" applyNumberFormat="1" borderId="6" applyBorder="1" fontId="3" applyFont="1" fillId="0" applyAlignment="1">
      <alignment horizontal="center"/>
    </xf>
    <xf xfId="0" numFmtId="3" applyNumberFormat="1" borderId="6" applyBorder="1" fontId="3" applyFont="1" fillId="0" applyAlignment="1">
      <alignment horizontal="center"/>
    </xf>
    <xf xfId="0" numFmtId="7" applyNumberFormat="1" borderId="0" fontId="0" fillId="0" applyAlignment="1">
      <alignment horizontal="center"/>
    </xf>
    <xf xfId="0" numFmtId="3" applyNumberFormat="1" borderId="0" fontId="0" fillId="0" applyAlignment="1">
      <alignment horizontal="center"/>
    </xf>
    <xf xfId="0" numFmtId="14" applyNumberFormat="1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0" borderId="7" applyBorder="1" fontId="7" applyFont="1" fillId="12" applyFill="1" applyAlignment="1">
      <alignment horizontal="center" vertical="top"/>
    </xf>
    <xf xfId="0" numFmtId="14" applyNumberFormat="1" borderId="1" applyBorder="1" fontId="7" applyFont="1" fillId="12" applyFill="1" applyAlignment="1">
      <alignment horizontal="center"/>
    </xf>
    <xf xfId="0" numFmtId="3" applyNumberFormat="1" borderId="1" applyBorder="1" fontId="8" applyFont="1" fillId="12" applyFill="1" applyAlignment="1">
      <alignment horizontal="center" vertical="top"/>
    </xf>
    <xf xfId="0" numFmtId="7" applyNumberFormat="1" borderId="1" applyBorder="1" fontId="9" applyFont="1" fillId="12" applyFill="1" applyAlignment="1">
      <alignment horizontal="center" vertical="top"/>
    </xf>
    <xf xfId="0" numFmtId="7" applyNumberFormat="1" borderId="1" applyBorder="1" fontId="9" applyFont="1" fillId="12" applyFill="1" applyAlignment="1">
      <alignment horizontal="center"/>
    </xf>
    <xf xfId="0" numFmtId="14" applyNumberFormat="1" borderId="7" applyBorder="1" fontId="7" applyFont="1" fillId="12" applyFill="1" applyAlignment="1">
      <alignment horizontal="center"/>
    </xf>
    <xf xfId="0" numFmtId="3" applyNumberFormat="1" borderId="1" applyBorder="1" fontId="8" applyFont="1" fillId="12" applyFill="1" applyAlignment="1">
      <alignment horizontal="center"/>
    </xf>
    <xf xfId="0" numFmtId="0" borderId="7" applyBorder="1" fontId="7" applyFont="1" fillId="7" applyFill="1" applyAlignment="1">
      <alignment horizontal="center"/>
    </xf>
    <xf xfId="0" numFmtId="14" applyNumberFormat="1" borderId="1" applyBorder="1" fontId="7" applyFont="1" fillId="7" applyFill="1" applyAlignment="1">
      <alignment horizontal="center"/>
    </xf>
    <xf xfId="0" numFmtId="3" applyNumberFormat="1" borderId="1" applyBorder="1" fontId="7" applyFont="1" fillId="7" applyFill="1" applyAlignment="1">
      <alignment horizontal="center"/>
    </xf>
    <xf xfId="0" numFmtId="7" applyNumberFormat="1" borderId="1" applyBorder="1" fontId="7" applyFont="1" fillId="7" applyFill="1" applyAlignment="1">
      <alignment horizontal="center"/>
    </xf>
    <xf xfId="0" numFmtId="7" applyNumberFormat="1" borderId="8" applyBorder="1" fontId="7" applyFont="1" fillId="7" applyFill="1" applyAlignment="1">
      <alignment horizontal="center"/>
    </xf>
    <xf xfId="0" numFmtId="14" applyNumberFormat="1" borderId="1" applyBorder="1" fontId="7" applyFont="1" fillId="5" applyFill="1" applyAlignment="1">
      <alignment horizontal="center"/>
    </xf>
    <xf xfId="0" numFmtId="0" borderId="9" applyBorder="1" fontId="7" applyFont="1" fillId="7" applyFill="1" applyAlignment="1">
      <alignment horizontal="center"/>
    </xf>
    <xf xfId="0" numFmtId="14" applyNumberFormat="1" borderId="4" applyBorder="1" fontId="7" applyFont="1" fillId="7" applyFill="1" applyAlignment="1">
      <alignment horizontal="center"/>
    </xf>
    <xf xfId="0" numFmtId="3" applyNumberFormat="1" borderId="10" applyBorder="1" fontId="10" applyFont="1" fillId="13" applyFill="1" applyAlignment="1">
      <alignment horizontal="center"/>
    </xf>
    <xf xfId="0" numFmtId="7" applyNumberFormat="1" borderId="1" applyBorder="1" fontId="11" applyFont="1" fillId="13" applyFill="1" applyAlignment="1">
      <alignment horizontal="center"/>
    </xf>
    <xf xfId="0" numFmtId="7" applyNumberFormat="1" borderId="10" applyBorder="1" fontId="10" applyFont="1" fillId="13" applyFill="1" applyAlignment="1">
      <alignment horizontal="center"/>
    </xf>
    <xf xfId="0" numFmtId="7" applyNumberFormat="1" borderId="1" applyBorder="1" fontId="7" applyFont="1" fillId="5" applyFill="1" applyAlignment="1">
      <alignment horizontal="center"/>
    </xf>
    <xf xfId="0" numFmtId="3" applyNumberFormat="1" borderId="8" applyBorder="1" fontId="10" applyFont="1" fillId="13" applyFill="1" applyAlignment="1">
      <alignment horizontal="center"/>
    </xf>
    <xf xfId="0" numFmtId="0" borderId="5" applyBorder="1" fontId="3" applyFont="1" fillId="5" applyFill="1" applyAlignment="1">
      <alignment horizontal="center"/>
    </xf>
    <xf xfId="0" numFmtId="14" applyNumberFormat="1" borderId="6" applyBorder="1" fontId="3" applyFont="1" fillId="0" applyAlignment="1">
      <alignment horizontal="center"/>
    </xf>
    <xf xfId="0" numFmtId="3" applyNumberFormat="1" borderId="11" applyBorder="1" fontId="3" applyFont="1" fillId="0" applyAlignment="1">
      <alignment horizontal="center"/>
    </xf>
    <xf xfId="0" numFmtId="14" applyNumberFormat="1" borderId="5" applyBorder="1" fontId="3" applyFont="1" fillId="5" applyFill="1" applyAlignment="1">
      <alignment horizontal="center"/>
    </xf>
    <xf xfId="0" numFmtId="14" applyNumberFormat="1" borderId="5" applyBorder="1" fontId="3" applyFont="1" fillId="0" applyAlignment="1">
      <alignment horizontal="center"/>
    </xf>
    <xf xfId="0" numFmtId="3" applyNumberFormat="1" borderId="5" applyBorder="1" fontId="3" applyFont="1" fillId="0" applyAlignment="1">
      <alignment horizontal="center"/>
    </xf>
    <xf xfId="0" numFmtId="14" applyNumberFormat="1" borderId="5" applyBorder="1" fontId="12" applyFont="1" fillId="0" applyAlignment="1">
      <alignment horizontal="center"/>
    </xf>
    <xf xfId="0" numFmtId="14" applyNumberFormat="1" borderId="1" applyBorder="1" fontId="3" applyFont="1" fillId="5" applyFill="1" applyAlignment="1">
      <alignment horizontal="center"/>
    </xf>
    <xf xfId="0" numFmtId="14" applyNumberFormat="1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7" applyNumberFormat="1" borderId="1" applyBorder="1" fontId="13" applyFont="1" fillId="14" applyFill="1" applyAlignment="1">
      <alignment horizontal="center"/>
    </xf>
    <xf xfId="0" numFmtId="3" applyNumberFormat="1" borderId="1" applyBorder="1" fontId="13" applyFont="1" fillId="14" applyFill="1" applyAlignment="1">
      <alignment horizontal="center"/>
    </xf>
    <xf xfId="0" numFmtId="7" applyNumberFormat="1" borderId="1" applyBorder="1" fontId="7" applyFont="1" fillId="15" applyFill="1" applyAlignment="1">
      <alignment horizontal="center"/>
    </xf>
    <xf xfId="0" numFmtId="3" applyNumberFormat="1" borderId="1" applyBorder="1" fontId="6" applyFont="1" fillId="5" applyFill="1" applyAlignment="1">
      <alignment horizontal="center"/>
    </xf>
    <xf xfId="0" numFmtId="1" applyNumberFormat="1" borderId="1" applyBorder="1" fontId="3" applyFont="1" fillId="5" applyFill="1" applyAlignment="1">
      <alignment horizontal="center"/>
    </xf>
    <xf xfId="0" numFmtId="7" applyNumberFormat="1" borderId="1" applyBorder="1" fontId="7" applyFont="1" fillId="16" applyFill="1" applyAlignment="1">
      <alignment horizontal="center"/>
    </xf>
    <xf xfId="0" numFmtId="3" applyNumberFormat="1" borderId="1" applyBorder="1" fontId="7" applyFont="1" fillId="16" applyFill="1" applyAlignment="1">
      <alignment horizontal="center"/>
    </xf>
    <xf xfId="0" numFmtId="7" applyNumberFormat="1" borderId="1" applyBorder="1" fontId="7" applyFont="1" fillId="17" applyFill="1" applyAlignment="1">
      <alignment horizontal="center"/>
    </xf>
    <xf xfId="0" numFmtId="7" applyNumberFormat="1" borderId="12" applyBorder="1" fontId="7" applyFont="1" fillId="16" applyFill="1" applyAlignment="1">
      <alignment horizontal="center"/>
    </xf>
    <xf xfId="0" numFmtId="7" applyNumberFormat="1" borderId="13" applyBorder="1" fontId="7" applyFont="1" fillId="16" applyFill="1" applyAlignment="1">
      <alignment horizontal="center"/>
    </xf>
    <xf xfId="0" numFmtId="3" applyNumberFormat="1" borderId="13" applyBorder="1" fontId="7" applyFont="1" fillId="16" applyFill="1" applyAlignment="1">
      <alignment horizontal="center"/>
    </xf>
    <xf xfId="0" numFmtId="7" applyNumberFormat="1" borderId="14" applyBorder="1" fontId="7" applyFont="1" fillId="17" applyFill="1" applyAlignment="1">
      <alignment horizontal="center"/>
    </xf>
    <xf xfId="0" numFmtId="7" applyNumberFormat="1" borderId="12" applyBorder="1" fontId="7" applyFont="1" fillId="18" applyFill="1" applyAlignment="1">
      <alignment horizontal="center"/>
    </xf>
    <xf xfId="0" numFmtId="7" applyNumberFormat="1" borderId="13" applyBorder="1" fontId="7" applyFont="1" fillId="18" applyFill="1" applyAlignment="1">
      <alignment horizontal="center"/>
    </xf>
    <xf xfId="0" numFmtId="7" applyNumberFormat="1" borderId="14" applyBorder="1" fontId="7" applyFont="1" fillId="19" applyFill="1" applyAlignment="1">
      <alignment horizontal="center"/>
    </xf>
    <xf xfId="0" numFmtId="7" applyNumberFormat="1" borderId="1" applyBorder="1" fontId="6" applyFont="1" fillId="20" applyFill="1" applyAlignment="1">
      <alignment horizontal="center"/>
    </xf>
    <xf xfId="0" numFmtId="3" applyNumberFormat="1" borderId="1" applyBorder="1" fontId="6" applyFont="1" fillId="20" applyFill="1" applyAlignment="1">
      <alignment horizontal="center"/>
    </xf>
    <xf xfId="0" numFmtId="7" applyNumberFormat="1" borderId="9" applyBorder="1" fontId="6" applyFont="1" fillId="20" applyFill="1" applyAlignment="1">
      <alignment horizontal="center"/>
    </xf>
    <xf xfId="0" numFmtId="7" applyNumberFormat="1" borderId="4" applyBorder="1" fontId="6" applyFont="1" fillId="20" applyFill="1" applyAlignment="1">
      <alignment horizontal="center"/>
    </xf>
    <xf xfId="0" numFmtId="3" applyNumberFormat="1" borderId="4" applyBorder="1" fontId="6" applyFont="1" fillId="20" applyFill="1" applyAlignment="1">
      <alignment horizontal="center"/>
    </xf>
    <xf xfId="0" numFmtId="7" applyNumberFormat="1" borderId="10" applyBorder="1" fontId="6" applyFont="1" fillId="20" applyFill="1" applyAlignment="1">
      <alignment horizontal="center"/>
    </xf>
    <xf xfId="0" numFmtId="7" applyNumberFormat="1" borderId="9" applyBorder="1" fontId="6" applyFont="1" fillId="21" applyFill="1" applyAlignment="1">
      <alignment horizontal="center"/>
    </xf>
    <xf xfId="0" numFmtId="7" applyNumberFormat="1" borderId="4" applyBorder="1" fontId="6" applyFont="1" fillId="21" applyFill="1" applyAlignment="1">
      <alignment horizontal="center"/>
    </xf>
    <xf xfId="0" numFmtId="1" applyNumberFormat="1" borderId="4" applyBorder="1" fontId="6" applyFont="1" fillId="21" applyFill="1" applyAlignment="1">
      <alignment horizontal="center"/>
    </xf>
    <xf xfId="0" numFmtId="7" applyNumberFormat="1" borderId="10" applyBorder="1" fontId="6" applyFont="1" fillId="21" applyFill="1" applyAlignment="1">
      <alignment horizontal="center"/>
    </xf>
    <xf xfId="0" numFmtId="7" applyNumberFormat="1" borderId="5" applyBorder="1" fontId="3" applyFont="1" fillId="0" applyAlignment="1">
      <alignment horizontal="center"/>
    </xf>
    <xf xfId="0" numFmtId="1" applyNumberFormat="1" borderId="5" applyBorder="1" fontId="3" applyFont="1" fillId="0" applyAlignment="1">
      <alignment horizontal="center"/>
    </xf>
    <xf xfId="0" numFmtId="7" applyNumberFormat="1" borderId="1" applyBorder="1" fontId="7" applyFont="1" fillId="22" applyFill="1" applyAlignment="1">
      <alignment horizontal="center"/>
    </xf>
    <xf xfId="0" numFmtId="3" applyNumberFormat="1" borderId="1" applyBorder="1" fontId="7" applyFont="1" fillId="22" applyFill="1" applyAlignment="1">
      <alignment horizontal="center"/>
    </xf>
    <xf xfId="0" numFmtId="7" applyNumberFormat="1" borderId="1" applyBorder="1" fontId="7" applyFont="1" fillId="9" applyFill="1" applyAlignment="1">
      <alignment horizontal="center"/>
    </xf>
    <xf xfId="0" numFmtId="7" applyNumberFormat="1" borderId="12" applyBorder="1" fontId="7" applyFont="1" fillId="22" applyFill="1" applyAlignment="1">
      <alignment horizontal="center"/>
    </xf>
    <xf xfId="0" numFmtId="7" applyNumberFormat="1" borderId="13" applyBorder="1" fontId="7" applyFont="1" fillId="22" applyFill="1" applyAlignment="1">
      <alignment horizontal="center"/>
    </xf>
    <xf xfId="0" numFmtId="3" applyNumberFormat="1" borderId="13" applyBorder="1" fontId="7" applyFont="1" fillId="22" applyFill="1" applyAlignment="1">
      <alignment horizontal="center"/>
    </xf>
    <xf xfId="0" numFmtId="7" applyNumberFormat="1" borderId="14" applyBorder="1" fontId="7" applyFont="1" fillId="9" applyFill="1" applyAlignment="1">
      <alignment horizontal="center"/>
    </xf>
    <xf xfId="0" numFmtId="7" applyNumberFormat="1" borderId="1" applyBorder="1" fontId="6" applyFont="1" fillId="23" applyFill="1" applyAlignment="1">
      <alignment horizontal="center"/>
    </xf>
    <xf xfId="0" numFmtId="3" applyNumberFormat="1" borderId="1" applyBorder="1" fontId="6" applyFont="1" fillId="23" applyFill="1" applyAlignment="1">
      <alignment horizontal="center"/>
    </xf>
    <xf xfId="0" numFmtId="7" applyNumberFormat="1" borderId="7" applyBorder="1" fontId="6" applyFont="1" fillId="23" applyFill="1" applyAlignment="1">
      <alignment horizontal="center"/>
    </xf>
    <xf xfId="0" numFmtId="7" applyNumberFormat="1" borderId="8" applyBorder="1" fontId="6" applyFont="1" fillId="23" applyFill="1" applyAlignment="1">
      <alignment horizontal="center"/>
    </xf>
    <xf xfId="0" numFmtId="1" applyNumberFormat="1" borderId="1" applyBorder="1" fontId="6" applyFont="1" fillId="23" applyFill="1" applyAlignment="1">
      <alignment horizontal="center"/>
    </xf>
    <xf xfId="0" numFmtId="7" applyNumberFormat="1" borderId="1" applyBorder="1" fontId="7" applyFont="1" fillId="24" applyFill="1" applyAlignment="1">
      <alignment horizontal="center"/>
    </xf>
    <xf xfId="0" numFmtId="3" applyNumberFormat="1" borderId="1" applyBorder="1" fontId="7" applyFont="1" fillId="24" applyFill="1" applyAlignment="1">
      <alignment horizontal="center"/>
    </xf>
    <xf xfId="0" numFmtId="7" applyNumberFormat="1" borderId="1" applyBorder="1" fontId="7" applyFont="1" fillId="8" applyFill="1" applyAlignment="1">
      <alignment horizontal="center"/>
    </xf>
    <xf xfId="0" numFmtId="7" applyNumberFormat="1" borderId="12" applyBorder="1" fontId="7" applyFont="1" fillId="24" applyFill="1" applyAlignment="1">
      <alignment horizontal="center"/>
    </xf>
    <xf xfId="0" numFmtId="7" applyNumberFormat="1" borderId="13" applyBorder="1" fontId="7" applyFont="1" fillId="24" applyFill="1" applyAlignment="1">
      <alignment horizontal="center"/>
    </xf>
    <xf xfId="0" numFmtId="3" applyNumberFormat="1" borderId="13" applyBorder="1" fontId="7" applyFont="1" fillId="24" applyFill="1" applyAlignment="1">
      <alignment horizontal="center"/>
    </xf>
    <xf xfId="0" numFmtId="7" applyNumberFormat="1" borderId="14" applyBorder="1" fontId="7" applyFont="1" fillId="8" applyFill="1" applyAlignment="1">
      <alignment horizontal="center"/>
    </xf>
    <xf xfId="0" numFmtId="7" applyNumberFormat="1" borderId="1" applyBorder="1" fontId="6" applyFont="1" fillId="25" applyFill="1" applyAlignment="1">
      <alignment horizontal="center"/>
    </xf>
    <xf xfId="0" numFmtId="3" applyNumberFormat="1" borderId="1" applyBorder="1" fontId="6" applyFont="1" fillId="25" applyFill="1" applyAlignment="1">
      <alignment horizontal="center"/>
    </xf>
    <xf xfId="0" numFmtId="7" applyNumberFormat="1" borderId="9" applyBorder="1" fontId="6" applyFont="1" fillId="25" applyFill="1" applyAlignment="1">
      <alignment horizontal="center"/>
    </xf>
    <xf xfId="0" numFmtId="7" applyNumberFormat="1" borderId="4" applyBorder="1" fontId="6" applyFont="1" fillId="25" applyFill="1" applyAlignment="1">
      <alignment horizontal="center"/>
    </xf>
    <xf xfId="0" numFmtId="3" applyNumberFormat="1" borderId="4" applyBorder="1" fontId="6" applyFont="1" fillId="25" applyFill="1" applyAlignment="1">
      <alignment horizontal="center"/>
    </xf>
    <xf xfId="0" numFmtId="7" applyNumberFormat="1" borderId="10" applyBorder="1" fontId="6" applyFont="1" fillId="25" applyFill="1" applyAlignment="1">
      <alignment horizontal="center"/>
    </xf>
    <xf xfId="0" numFmtId="1" applyNumberFormat="1" borderId="4" applyBorder="1" fontId="6" applyFont="1" fillId="25" applyFill="1" applyAlignment="1">
      <alignment horizontal="center"/>
    </xf>
    <xf xfId="0" numFmtId="7" applyNumberFormat="1" borderId="7" applyBorder="1" fontId="6" applyFont="1" fillId="10" applyFill="1" applyAlignment="1">
      <alignment horizontal="center"/>
    </xf>
    <xf xfId="0" numFmtId="7" applyNumberFormat="1" borderId="1" applyBorder="1" fontId="6" applyFont="1" fillId="10" applyFill="1" applyAlignment="1">
      <alignment horizontal="center"/>
    </xf>
    <xf xfId="0" numFmtId="3" applyNumberFormat="1" borderId="1" applyBorder="1" fontId="6" applyFont="1" fillId="10" applyFill="1" applyAlignment="1">
      <alignment horizontal="center"/>
    </xf>
    <xf xfId="0" numFmtId="1" applyNumberFormat="1" borderId="0" fontId="0" fillId="0" applyAlignment="1">
      <alignment horizontal="center"/>
    </xf>
    <xf xfId="0" numFmtId="7" applyNumberFormat="1" borderId="1" applyBorder="1" fontId="6" applyFont="1" fillId="12" applyFill="1" applyAlignment="1">
      <alignment horizontal="center"/>
    </xf>
    <xf xfId="0" numFmtId="3" applyNumberFormat="1" borderId="1" applyBorder="1" fontId="6" applyFont="1" fillId="12" applyFill="1" applyAlignment="1">
      <alignment horizontal="center"/>
    </xf>
    <xf xfId="0" numFmtId="7" applyNumberFormat="1" borderId="12" applyBorder="1" fontId="7" applyFont="1" fillId="26" applyFill="1" applyAlignment="1">
      <alignment horizontal="center"/>
    </xf>
    <xf xfId="0" numFmtId="7" applyNumberFormat="1" borderId="13" applyBorder="1" fontId="7" applyFont="1" fillId="26" applyFill="1" applyAlignment="1">
      <alignment horizontal="center"/>
    </xf>
    <xf xfId="0" numFmtId="3" applyNumberFormat="1" borderId="13" applyBorder="1" fontId="7" applyFont="1" fillId="26" applyFill="1" applyAlignment="1">
      <alignment horizontal="center"/>
    </xf>
    <xf xfId="0" numFmtId="7" applyNumberFormat="1" borderId="14" applyBorder="1" fontId="7" applyFont="1" fillId="7" applyFill="1" applyAlignment="1">
      <alignment horizontal="center"/>
    </xf>
    <xf xfId="0" numFmtId="7" applyNumberFormat="1" borderId="9" applyBorder="1" fontId="6" applyFont="1" fillId="27" applyFill="1" applyAlignment="1">
      <alignment horizontal="center"/>
    </xf>
    <xf xfId="0" numFmtId="7" applyNumberFormat="1" borderId="4" applyBorder="1" fontId="6" applyFont="1" fillId="27" applyFill="1" applyAlignment="1">
      <alignment horizontal="center"/>
    </xf>
    <xf xfId="0" numFmtId="3" applyNumberFormat="1" borderId="4" applyBorder="1" fontId="6" applyFont="1" fillId="27" applyFill="1" applyAlignment="1">
      <alignment horizontal="center"/>
    </xf>
    <xf xfId="0" numFmtId="7" applyNumberFormat="1" borderId="10" applyBorder="1" fontId="6" applyFont="1" fillId="27" applyFill="1" applyAlignment="1">
      <alignment horizontal="center"/>
    </xf>
    <xf xfId="0" numFmtId="1" applyNumberFormat="1" borderId="4" applyBorder="1" fontId="6" applyFont="1" fillId="27" applyFill="1" applyAlignment="1">
      <alignment horizontal="center"/>
    </xf>
    <xf xfId="0" numFmtId="1" applyNumberFormat="1" borderId="4" applyBorder="1" fontId="6" applyFont="1" fillId="20" applyFill="1" applyAlignment="1">
      <alignment horizontal="center"/>
    </xf>
    <xf xfId="0" numFmtId="1" applyNumberFormat="1" borderId="1" applyBorder="1" fontId="6" applyFont="1" fillId="12" applyFill="1" applyAlignment="1">
      <alignment horizontal="center"/>
    </xf>
    <xf xfId="0" numFmtId="1" applyNumberFormat="1" borderId="0" fontId="0" fillId="0" applyAlignment="1">
      <alignment horizontal="center"/>
    </xf>
    <xf xfId="0" numFmtId="14" applyNumberFormat="1" borderId="15" applyBorder="1" fontId="14" applyFont="1" fillId="10" applyFill="1" applyAlignment="1">
      <alignment horizontal="center"/>
    </xf>
    <xf xfId="0" numFmtId="0" borderId="15" applyBorder="1" fontId="14" applyFont="1" fillId="10" applyFill="1" applyAlignment="1">
      <alignment horizontal="center"/>
    </xf>
    <xf xfId="0" numFmtId="3" applyNumberFormat="1" borderId="15" applyBorder="1" fontId="14" applyFont="1" fillId="10" applyFill="1" applyAlignment="1">
      <alignment horizontal="center"/>
    </xf>
    <xf xfId="0" numFmtId="7" applyNumberFormat="1" borderId="15" applyBorder="1" fontId="14" applyFont="1" fillId="10" applyFill="1" applyAlignment="1">
      <alignment horizontal="center"/>
    </xf>
    <xf xfId="0" numFmtId="0" borderId="1" applyBorder="1" fontId="14" applyFont="1" fillId="10" applyFill="1" applyAlignment="1">
      <alignment horizontal="center"/>
    </xf>
    <xf xfId="0" numFmtId="0" borderId="5" applyBorder="1" fontId="3" applyFont="1" fillId="0" applyAlignment="1">
      <alignment horizontal="center"/>
    </xf>
    <xf xfId="0" numFmtId="3" applyNumberFormat="1" borderId="5" applyBorder="1" fontId="12" applyFont="1" fillId="0" applyAlignment="1">
      <alignment horizontal="center"/>
    </xf>
    <xf xfId="0" numFmtId="0" borderId="5" applyBorder="1" fontId="12" applyFont="1" fillId="0" applyAlignment="1">
      <alignment horizontal="center"/>
    </xf>
    <xf xfId="0" numFmtId="3" applyNumberFormat="1" borderId="16" applyBorder="1" fontId="12" applyFont="1" fillId="0" applyAlignment="1">
      <alignment horizontal="center"/>
    </xf>
    <xf xfId="0" numFmtId="0" borderId="16" applyBorder="1" fontId="12" applyFont="1" fillId="0" applyAlignment="1">
      <alignment horizontal="center"/>
    </xf>
    <xf xfId="0" numFmtId="3" applyNumberFormat="1" borderId="16" applyBorder="1" fontId="3" applyFont="1" fillId="0" applyAlignment="1">
      <alignment horizontal="center"/>
    </xf>
    <xf xfId="0" numFmtId="0" borderId="16" applyBorder="1" fontId="3" applyFont="1" fillId="0" applyAlignment="1">
      <alignment horizontal="center"/>
    </xf>
    <xf xfId="0" numFmtId="0" borderId="5" applyBorder="1" fontId="12" applyFont="1" fillId="0" applyAlignment="1">
      <alignment horizontal="left"/>
    </xf>
    <xf xfId="0" numFmtId="0" borderId="5" applyBorder="1" fontId="3" applyFont="1" fillId="0" applyAlignment="1">
      <alignment horizontal="left"/>
    </xf>
    <xf xfId="0" numFmtId="14" applyNumberFormat="1" borderId="0" fontId="0" fillId="0" applyAlignment="1">
      <alignment horizontal="center"/>
    </xf>
    <xf xfId="0" numFmtId="0" borderId="0" fontId="0" fillId="0" applyAlignment="1">
      <alignment horizontal="left"/>
    </xf>
    <xf xfId="0" numFmtId="0" borderId="15" applyBorder="1" fontId="14" applyFont="1" fillId="10" applyFill="1" applyAlignment="1">
      <alignment horizontal="left"/>
    </xf>
    <xf xfId="0" numFmtId="3" applyNumberFormat="1" borderId="15" applyBorder="1" fontId="14" applyFont="1" fillId="10" applyFill="1" applyAlignment="1">
      <alignment horizontal="left"/>
    </xf>
    <xf xfId="0" numFmtId="3" applyNumberFormat="1" borderId="5" applyBorder="1" fontId="3" applyFont="1" fillId="0" applyAlignment="1">
      <alignment horizontal="left"/>
    </xf>
    <xf xfId="0" numFmtId="0" borderId="5" applyBorder="1" fontId="3" applyFont="1" fillId="5" applyFill="1" applyAlignment="1">
      <alignment horizontal="left"/>
    </xf>
    <xf xfId="0" numFmtId="0" borderId="5" applyBorder="1" fontId="3" applyFont="1" fillId="5" applyFill="1" applyAlignment="1">
      <alignment horizontal="left" wrapText="1"/>
    </xf>
    <xf xfId="0" numFmtId="3" applyNumberFormat="1" borderId="0" fontId="0" fillId="0" applyAlignment="1">
      <alignment horizontal="left"/>
    </xf>
    <xf xfId="0" numFmtId="164" applyNumberFormat="1" borderId="6" applyBorder="1" fontId="3" applyFont="1" fillId="0" applyAlignment="1">
      <alignment horizontal="center"/>
    </xf>
    <xf xfId="0" numFmtId="14" applyNumberFormat="1" borderId="11" applyBorder="1" fontId="3" applyFont="1" fillId="0" applyAlignment="1">
      <alignment horizontal="center"/>
    </xf>
    <xf xfId="0" numFmtId="0" borderId="5" applyBorder="1" fontId="12" applyFont="1" fillId="21" applyFill="1" applyAlignment="1">
      <alignment horizontal="center"/>
    </xf>
    <xf xfId="0" numFmtId="0" borderId="5" applyBorder="1" fontId="12" applyFont="1" fillId="28" applyFill="1" applyAlignment="1">
      <alignment horizontal="center"/>
    </xf>
    <xf xfId="0" numFmtId="0" borderId="5" applyBorder="1" fontId="6" applyFont="1" fillId="29" applyFill="1" applyAlignment="1">
      <alignment horizontal="center"/>
    </xf>
    <xf xfId="0" numFmtId="49" applyNumberFormat="1" borderId="5" applyBorder="1" fontId="3" applyFont="1" fillId="0" applyAlignment="1">
      <alignment horizontal="center"/>
    </xf>
    <xf xfId="0" numFmtId="3" applyNumberFormat="1" borderId="1" applyBorder="1" fontId="6" applyFont="1" fillId="5" applyFill="1" applyAlignment="1">
      <alignment horizontal="left"/>
    </xf>
    <xf xfId="0" numFmtId="0" borderId="1" applyBorder="1" fontId="15" applyFont="1" fillId="30" applyFill="1" applyAlignment="1">
      <alignment horizontal="left"/>
    </xf>
    <xf xfId="0" numFmtId="3" applyNumberFormat="1" borderId="1" applyBorder="1" fontId="15" applyFont="1" fillId="30" applyFill="1" applyAlignment="1">
      <alignment horizontal="left"/>
    </xf>
    <xf xfId="0" numFmtId="7" applyNumberFormat="1" borderId="1" applyBorder="1" fontId="15" applyFont="1" fillId="30" applyFill="1" applyAlignment="1">
      <alignment horizontal="left"/>
    </xf>
    <xf xfId="0" numFmtId="0" borderId="1" applyBorder="1" fontId="6" applyFont="1" fillId="5" applyFill="1" applyAlignment="1">
      <alignment horizontal="left"/>
    </xf>
    <xf xfId="0" numFmtId="0" borderId="5" applyBorder="1" fontId="6" applyFont="1" fillId="10" applyFill="1" applyAlignment="1">
      <alignment horizontal="left"/>
    </xf>
    <xf xfId="0" numFmtId="7" applyNumberFormat="1" borderId="5" applyBorder="1" fontId="6" applyFont="1" fillId="10" applyFill="1" applyAlignment="1">
      <alignment horizontal="left"/>
    </xf>
    <xf xfId="0" numFmtId="1" applyNumberFormat="1" borderId="5" applyBorder="1" fontId="6" applyFont="1" fillId="10" applyFill="1" applyAlignment="1">
      <alignment horizontal="left"/>
    </xf>
    <xf xfId="0" numFmtId="7" applyNumberFormat="1" borderId="5" applyBorder="1" fontId="3" applyFont="1" fillId="5" applyFill="1" applyAlignment="1">
      <alignment horizontal="left"/>
    </xf>
    <xf xfId="0" numFmtId="1" applyNumberFormat="1" borderId="5" applyBorder="1" fontId="3" applyFont="1" fillId="5" applyFill="1" applyAlignment="1">
      <alignment horizontal="left"/>
    </xf>
    <xf xfId="0" numFmtId="0" borderId="5" applyBorder="1" fontId="3" applyFont="1" fillId="31" applyFill="1" applyAlignment="1">
      <alignment horizontal="left"/>
    </xf>
    <xf xfId="0" numFmtId="3" applyNumberFormat="1" borderId="5" applyBorder="1" fontId="3" applyFont="1" fillId="31" applyFill="1" applyAlignment="1">
      <alignment horizontal="left"/>
    </xf>
    <xf xfId="0" numFmtId="7" applyNumberFormat="1" borderId="5" applyBorder="1" fontId="3" applyFont="1" fillId="31" applyFill="1" applyAlignment="1">
      <alignment horizontal="left"/>
    </xf>
    <xf xfId="0" numFmtId="0" borderId="1" applyBorder="1" fontId="3" applyFont="1" fillId="5" applyFill="1" applyAlignment="1">
      <alignment horizontal="left"/>
    </xf>
    <xf xfId="0" numFmtId="0" borderId="5" applyBorder="1" fontId="6" applyFont="1" fillId="32" applyFill="1" applyAlignment="1">
      <alignment horizontal="left"/>
    </xf>
    <xf xfId="0" numFmtId="3" applyNumberFormat="1" borderId="5" applyBorder="1" fontId="6" applyFont="1" fillId="32" applyFill="1" applyAlignment="1">
      <alignment horizontal="left"/>
    </xf>
    <xf xfId="0" numFmtId="7" applyNumberFormat="1" borderId="5" applyBorder="1" fontId="6" applyFont="1" fillId="32" applyFill="1" applyAlignment="1">
      <alignment horizontal="left"/>
    </xf>
    <xf xfId="0" numFmtId="3" applyNumberFormat="1" borderId="5" applyBorder="1" fontId="3" applyFont="1" fillId="5" applyFill="1" applyAlignment="1">
      <alignment horizontal="left"/>
    </xf>
    <xf xfId="0" numFmtId="3" applyNumberFormat="1" borderId="5" applyBorder="1" fontId="6" applyFont="1" fillId="10" applyFill="1" applyAlignment="1">
      <alignment horizontal="left"/>
    </xf>
    <xf xfId="0" numFmtId="0" borderId="5" applyBorder="1" fontId="14" applyFont="1" fillId="33" applyFill="1" applyAlignment="1">
      <alignment horizontal="left"/>
    </xf>
    <xf xfId="0" numFmtId="3" applyNumberFormat="1" borderId="5" applyBorder="1" fontId="14" applyFont="1" fillId="33" applyFill="1" applyAlignment="1">
      <alignment horizontal="left"/>
    </xf>
    <xf xfId="0" numFmtId="7" applyNumberFormat="1" borderId="5" applyBorder="1" fontId="14" applyFont="1" fillId="33" applyFill="1" applyAlignment="1">
      <alignment horizontal="left"/>
    </xf>
    <xf xfId="0" numFmtId="0" borderId="5" applyBorder="1" fontId="4" applyFont="1" fillId="34" applyFill="1" applyAlignment="1">
      <alignment horizontal="left"/>
    </xf>
    <xf xfId="0" numFmtId="3" applyNumberFormat="1" borderId="5" applyBorder="1" fontId="4" applyFont="1" fillId="34" applyFill="1" applyAlignment="1">
      <alignment horizontal="left"/>
    </xf>
    <xf xfId="0" numFmtId="7" applyNumberFormat="1" borderId="5" applyBorder="1" fontId="4" applyFont="1" fillId="34" applyFill="1" applyAlignment="1">
      <alignment horizontal="left"/>
    </xf>
    <xf xfId="0" numFmtId="0" borderId="5" applyBorder="1" fontId="3" applyFont="1" fillId="35" applyFill="1" applyAlignment="1">
      <alignment horizontal="left"/>
    </xf>
    <xf xfId="0" numFmtId="3" applyNumberFormat="1" borderId="5" applyBorder="1" fontId="3" applyFont="1" fillId="35" applyFill="1" applyAlignment="1">
      <alignment horizontal="left"/>
    </xf>
    <xf xfId="0" numFmtId="7" applyNumberFormat="1" borderId="5" applyBorder="1" fontId="3" applyFont="1" fillId="35" applyFill="1" applyAlignment="1">
      <alignment horizontal="left"/>
    </xf>
    <xf xfId="0" numFmtId="0" borderId="5" applyBorder="1" fontId="3" applyFont="1" fillId="36" applyFill="1" applyAlignment="1">
      <alignment horizontal="left"/>
    </xf>
    <xf xfId="0" numFmtId="7" applyNumberFormat="1" borderId="17" applyBorder="1" fontId="3" applyFont="1" fillId="5" applyFill="1" applyAlignment="1">
      <alignment horizontal="left"/>
    </xf>
    <xf xfId="0" numFmtId="0" borderId="5" applyBorder="1" fontId="3" applyFont="1" fillId="37" applyFill="1" applyAlignment="1">
      <alignment horizontal="left"/>
    </xf>
    <xf xfId="0" numFmtId="0" borderId="18" applyBorder="1" fontId="14" applyFont="1" fillId="33" applyFill="1" applyAlignment="1">
      <alignment horizontal="left"/>
    </xf>
    <xf xfId="0" numFmtId="3" applyNumberFormat="1" borderId="19" applyBorder="1" fontId="14" applyFont="1" fillId="33" applyFill="1" applyAlignment="1">
      <alignment horizontal="left"/>
    </xf>
    <xf xfId="0" numFmtId="7" applyNumberFormat="1" borderId="19" applyBorder="1" fontId="14" applyFont="1" fillId="33" applyFill="1" applyAlignment="1">
      <alignment horizontal="left"/>
    </xf>
    <xf xfId="0" numFmtId="7" applyNumberFormat="1" borderId="17" applyBorder="1" fontId="14" applyFont="1" fillId="33" applyFill="1" applyAlignment="1">
      <alignment horizontal="left"/>
    </xf>
    <xf xfId="0" numFmtId="0" borderId="18" applyBorder="1" fontId="4" applyFont="1" fillId="38" applyFill="1" applyAlignment="1">
      <alignment horizontal="left"/>
    </xf>
    <xf xfId="0" numFmtId="3" applyNumberFormat="1" borderId="19" applyBorder="1" fontId="4" applyFont="1" fillId="38" applyFill="1" applyAlignment="1">
      <alignment horizontal="left"/>
    </xf>
    <xf xfId="0" numFmtId="7" applyNumberFormat="1" borderId="19" applyBorder="1" fontId="4" applyFont="1" fillId="38" applyFill="1" applyAlignment="1">
      <alignment horizontal="left"/>
    </xf>
    <xf xfId="0" numFmtId="7" applyNumberFormat="1" borderId="17" applyBorder="1" fontId="4" applyFont="1" fillId="38" applyFill="1" applyAlignment="1">
      <alignment horizontal="left"/>
    </xf>
    <xf xfId="0" numFmtId="0" borderId="18" applyBorder="1" fontId="4" applyFont="1" fillId="19" applyFill="1" applyAlignment="1">
      <alignment horizontal="left"/>
    </xf>
    <xf xfId="0" numFmtId="3" applyNumberFormat="1" borderId="19" applyBorder="1" fontId="4" applyFont="1" fillId="19" applyFill="1" applyAlignment="1">
      <alignment horizontal="left"/>
    </xf>
    <xf xfId="0" numFmtId="7" applyNumberFormat="1" borderId="19" applyBorder="1" fontId="4" applyFont="1" fillId="19" applyFill="1" applyAlignment="1">
      <alignment horizontal="left"/>
    </xf>
    <xf xfId="0" numFmtId="7" applyNumberFormat="1" borderId="17" applyBorder="1" fontId="4" applyFont="1" fillId="19" applyFill="1" applyAlignment="1">
      <alignment horizontal="left"/>
    </xf>
    <xf xfId="0" numFmtId="0" borderId="5" applyBorder="1" fontId="3" applyFont="1" fillId="39" applyFill="1" applyAlignment="1">
      <alignment horizontal="left"/>
    </xf>
    <xf xfId="0" numFmtId="0" borderId="20" applyBorder="1" fontId="3" applyFont="1" fillId="5" applyFill="1" applyAlignment="1">
      <alignment horizontal="left"/>
    </xf>
    <xf xfId="0" numFmtId="7" applyNumberFormat="1" borderId="20" applyBorder="1" fontId="3" applyFont="1" fillId="5" applyFill="1" applyAlignment="1">
      <alignment horizontal="left"/>
    </xf>
    <xf xfId="0" numFmtId="1" applyNumberFormat="1" borderId="20" applyBorder="1" fontId="3" applyFont="1" fillId="5" applyFill="1" applyAlignment="1">
      <alignment horizontal="left"/>
    </xf>
    <xf xfId="0" numFmtId="0" borderId="21" applyBorder="1" fontId="3" applyFont="1" fillId="5" applyFill="1" applyAlignment="1">
      <alignment horizontal="left"/>
    </xf>
    <xf xfId="0" numFmtId="7" applyNumberFormat="1" borderId="21" applyBorder="1" fontId="3" applyFont="1" fillId="5" applyFill="1" applyAlignment="1">
      <alignment horizontal="left"/>
    </xf>
    <xf xfId="0" numFmtId="1" applyNumberFormat="1" borderId="21" applyBorder="1" fontId="3" applyFont="1" fillId="5" applyFill="1" applyAlignment="1">
      <alignment horizontal="left"/>
    </xf>
    <xf xfId="0" numFmtId="7" applyNumberFormat="1" borderId="0" fontId="0" fillId="0" applyAlignment="1">
      <alignment horizontal="left"/>
    </xf>
    <xf xfId="0" numFmtId="1" applyNumberFormat="1" borderId="0" fontId="0" fillId="0" applyAlignment="1">
      <alignment horizontal="left"/>
    </xf>
    <xf xfId="0" numFmtId="7" applyNumberFormat="1" borderId="6" applyBorder="1" fontId="3" applyFont="1" fillId="0" applyAlignment="1">
      <alignment horizontal="left"/>
    </xf>
    <xf xfId="0" numFmtId="0" borderId="1" applyBorder="1" fontId="14" applyFont="1" fillId="10" applyFill="1" applyAlignment="1">
      <alignment horizontal="left"/>
    </xf>
    <xf xfId="0" numFmtId="49" applyNumberFormat="1" borderId="1" applyBorder="1" fontId="14" applyFont="1" fillId="10" applyFill="1" applyAlignment="1">
      <alignment horizontal="left"/>
    </xf>
    <xf xfId="0" numFmtId="3" applyNumberFormat="1" borderId="1" applyBorder="1" fontId="14" applyFont="1" fillId="10" applyFill="1" applyAlignment="1">
      <alignment horizontal="left"/>
    </xf>
    <xf xfId="0" numFmtId="0" borderId="1" applyBorder="1" fontId="3" applyFont="1" fillId="28" applyFill="1" applyAlignment="1">
      <alignment horizontal="left"/>
    </xf>
    <xf xfId="0" numFmtId="49" applyNumberFormat="1" borderId="1" applyBorder="1" fontId="12" applyFont="1" fillId="28" applyFill="1" applyAlignment="1">
      <alignment horizontal="left"/>
    </xf>
    <xf xfId="0" numFmtId="0" borderId="6" applyBorder="1" fontId="12" applyFont="1" fillId="0" applyAlignment="1">
      <alignment horizontal="left"/>
    </xf>
    <xf xfId="0" numFmtId="3" applyNumberFormat="1" borderId="6" applyBorder="1" fontId="12" applyFont="1" fillId="0" applyAlignment="1">
      <alignment horizontal="left"/>
    </xf>
    <xf xfId="0" numFmtId="0" borderId="1" applyBorder="1" fontId="12" applyFont="1" fillId="28" applyFill="1" applyAlignment="1">
      <alignment horizontal="left"/>
    </xf>
    <xf xfId="0" numFmtId="3" applyNumberFormat="1" borderId="1" applyBorder="1" fontId="12" applyFont="1" fillId="28" applyFill="1" applyAlignment="1">
      <alignment horizontal="left"/>
    </xf>
    <xf xfId="0" numFmtId="0" borderId="6" applyBorder="1" fontId="3" applyFont="1" fillId="0" applyAlignment="1">
      <alignment horizontal="left"/>
    </xf>
    <xf xfId="0" numFmtId="3" applyNumberFormat="1" borderId="6" applyBorder="1" fontId="3" applyFont="1" fillId="0" applyAlignment="1">
      <alignment horizontal="left"/>
    </xf>
    <xf xfId="0" numFmtId="49" applyNumberFormat="1" borderId="6" applyBorder="1" fontId="3" applyFont="1" fillId="0" applyAlignment="1">
      <alignment horizontal="left"/>
    </xf>
    <xf xfId="0" numFmtId="3" applyNumberFormat="1" borderId="1" applyBorder="1" fontId="3" applyFont="1" fillId="28" applyFill="1" applyAlignment="1">
      <alignment horizontal="left"/>
    </xf>
    <xf xfId="0" numFmtId="4" applyNumberFormat="1" borderId="6" applyBorder="1" fontId="3" applyFont="1" fillId="0" applyAlignment="1">
      <alignment horizontal="left"/>
    </xf>
    <xf xfId="0" numFmtId="49" applyNumberFormat="1" borderId="1" applyBorder="1" fontId="3" applyFont="1" fillId="28" applyFill="1" applyAlignment="1">
      <alignment horizontal="left"/>
    </xf>
    <xf xfId="0" numFmtId="0" borderId="6" applyBorder="1" fontId="3" applyFont="1" fillId="0" applyAlignment="1">
      <alignment horizontal="left" wrapText="1"/>
    </xf>
    <xf xfId="0" numFmtId="3" applyNumberFormat="1" borderId="6" applyBorder="1" fontId="3" applyFont="1" fillId="0" applyAlignment="1">
      <alignment horizontal="left" wrapText="1"/>
    </xf>
    <xf xfId="0" numFmtId="49" applyNumberFormat="1" borderId="6" applyBorder="1" fontId="12" applyFont="1" fillId="0" applyAlignment="1">
      <alignment horizontal="left"/>
    </xf>
    <xf xfId="0" numFmtId="0" borderId="1" applyBorder="1" fontId="3" applyFont="1" fillId="28" applyFill="1" applyAlignment="1">
      <alignment horizontal="left" wrapText="1"/>
    </xf>
    <xf xfId="0" numFmtId="49" applyNumberFormat="1" borderId="1" applyBorder="1" fontId="12" applyFont="1" fillId="5" applyFill="1" applyAlignment="1">
      <alignment horizontal="left"/>
    </xf>
    <xf xfId="0" numFmtId="0" borderId="0" fontId="0" fillId="0" applyAlignment="1">
      <alignment wrapText="1"/>
    </xf>
    <xf xfId="0" numFmtId="0" borderId="0" fontId="0" fillId="0" applyAlignment="1">
      <alignment horizontal="general" wrapText="1"/>
    </xf>
    <xf xfId="0" numFmtId="7" applyNumberFormat="1" borderId="0" fontId="0" fillId="0" applyAlignment="1">
      <alignment horizontal="general" wrapText="1"/>
    </xf>
    <xf xfId="0" numFmtId="3" applyNumberFormat="1" borderId="0" fontId="0" fillId="0" applyAlignment="1">
      <alignment horizontal="general" wrapText="1"/>
    </xf>
    <xf xfId="0" numFmtId="0" borderId="5" applyBorder="1" fontId="3" applyFont="1" fillId="28" applyFill="1" applyAlignment="1">
      <alignment horizontal="left"/>
    </xf>
    <xf xfId="0" numFmtId="49" applyNumberFormat="1" borderId="0" fontId="0" fillId="0" applyAlignment="1">
      <alignment horizontal="lef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worksheets/sheet8.xml" Type="http://schemas.openxmlformats.org/officeDocument/2006/relationships/worksheet" Id="rId8"/><Relationship Target="worksheets/sheet9.xml" Type="http://schemas.openxmlformats.org/officeDocument/2006/relationships/worksheet" Id="rId9"/><Relationship Target="sharedStrings.xml" Type="http://schemas.openxmlformats.org/officeDocument/2006/relationships/sharedStrings" Id="rId10"/><Relationship Target="styles.xml" Type="http://schemas.openxmlformats.org/officeDocument/2006/relationships/styles" Id="rId11"/><Relationship Target="theme/theme1.xml" Type="http://schemas.openxmlformats.org/officeDocument/2006/relationships/theme" Id="rId12"/><Relationship Target="vbaProject.bin" Type="http://schemas.microsoft.com/office/2006/relationships/vbaProject" Id="rId13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L298"/>
  <sheetViews>
    <sheetView workbookViewId="0"/>
  </sheetViews>
  <sheetFormatPr defaultRowHeight="15" x14ac:dyDescent="0.25"/>
  <cols>
    <col min="1" max="1" style="11" width="9.147857142857141" customWidth="1" bestFit="1"/>
    <col min="2" max="2" style="11" width="14.147857142857141" customWidth="1" bestFit="1"/>
    <col min="3" max="3" style="11" width="14.290714285714287" customWidth="1" bestFit="1"/>
    <col min="4" max="4" style="11" width="5.005" customWidth="1" bestFit="1"/>
    <col min="5" max="5" style="11" width="14.005" customWidth="1" bestFit="1"/>
    <col min="6" max="6" style="13" width="10.005" customWidth="1" bestFit="1"/>
    <col min="7" max="7" style="13" width="15.862142857142858" customWidth="1" bestFit="1"/>
    <col min="8" max="8" style="157" width="47.57642857142857" customWidth="1" bestFit="1"/>
    <col min="9" max="9" style="248" width="14.862142857142858" customWidth="1" bestFit="1"/>
    <col min="10" max="10" style="11" width="9.147857142857141" customWidth="1" bestFit="1"/>
    <col min="11" max="11" style="11" width="24.14785714285714" customWidth="1" bestFit="1"/>
    <col min="12" max="12" style="70" width="13.43357142857143" customWidth="1" bestFit="1"/>
  </cols>
  <sheetData>
    <row x14ac:dyDescent="0.25" r="1" customHeight="1" ht="18.75">
      <c r="A1" s="1"/>
      <c r="B1" s="34" t="s">
        <v>23</v>
      </c>
      <c r="C1" s="34" t="s">
        <v>68</v>
      </c>
      <c r="D1" s="34" t="s">
        <v>184</v>
      </c>
      <c r="E1" s="34" t="s">
        <v>66</v>
      </c>
      <c r="F1" s="35">
        <v>0</v>
      </c>
      <c r="G1" s="222"/>
      <c r="H1" s="223" t="s">
        <v>64</v>
      </c>
      <c r="I1" s="224" t="s">
        <v>65</v>
      </c>
      <c r="J1" s="1"/>
      <c r="K1" s="223" t="s">
        <v>64</v>
      </c>
      <c r="L1" s="225" t="s">
        <v>65</v>
      </c>
    </row>
    <row x14ac:dyDescent="0.25" r="2" customHeight="1" ht="18.75">
      <c r="A2" s="1"/>
      <c r="B2" s="34" t="s">
        <v>50</v>
      </c>
      <c r="C2" s="34" t="s">
        <v>13</v>
      </c>
      <c r="D2" s="34" t="s">
        <v>74</v>
      </c>
      <c r="E2" s="34" t="s">
        <v>72</v>
      </c>
      <c r="F2" s="35">
        <v>10</v>
      </c>
      <c r="G2" s="222"/>
      <c r="H2" s="226" t="s">
        <v>182</v>
      </c>
      <c r="I2" s="227" t="s">
        <v>594</v>
      </c>
      <c r="J2" s="1"/>
      <c r="K2" s="228" t="s">
        <v>401</v>
      </c>
      <c r="L2" s="229">
        <v>11973134371</v>
      </c>
    </row>
    <row x14ac:dyDescent="0.25" r="3" customHeight="1" ht="18.75">
      <c r="A3" s="1"/>
      <c r="B3" s="34" t="s">
        <v>22</v>
      </c>
      <c r="C3" s="34" t="s">
        <v>73</v>
      </c>
      <c r="D3" s="1"/>
      <c r="E3" s="34" t="s">
        <v>171</v>
      </c>
      <c r="F3" s="35">
        <v>10</v>
      </c>
      <c r="G3" s="222"/>
      <c r="H3" s="230" t="s">
        <v>401</v>
      </c>
      <c r="I3" s="231">
        <v>11973134371</v>
      </c>
      <c r="J3" s="1"/>
      <c r="K3" s="232" t="s">
        <v>431</v>
      </c>
      <c r="L3" s="233">
        <v>11956078403</v>
      </c>
    </row>
    <row x14ac:dyDescent="0.25" r="4" customHeight="1" ht="18.75">
      <c r="A4" s="1"/>
      <c r="B4" s="8" t="s">
        <v>19</v>
      </c>
      <c r="C4" s="34" t="s">
        <v>10</v>
      </c>
      <c r="D4" s="1"/>
      <c r="E4" s="34" t="s">
        <v>78</v>
      </c>
      <c r="F4" s="35">
        <v>12</v>
      </c>
      <c r="G4" s="222"/>
      <c r="H4" s="232" t="s">
        <v>139</v>
      </c>
      <c r="I4" s="234" t="s">
        <v>595</v>
      </c>
      <c r="J4" s="1"/>
      <c r="K4" s="228" t="s">
        <v>406</v>
      </c>
      <c r="L4" s="229">
        <v>11911136088</v>
      </c>
    </row>
    <row x14ac:dyDescent="0.25" r="5" customHeight="1" ht="18.75">
      <c r="A5" s="1"/>
      <c r="B5" s="8" t="s">
        <v>21</v>
      </c>
      <c r="C5" s="34" t="s">
        <v>20</v>
      </c>
      <c r="D5" s="1"/>
      <c r="E5" s="34" t="s">
        <v>433</v>
      </c>
      <c r="F5" s="35" t="s">
        <v>596</v>
      </c>
      <c r="G5" s="222"/>
      <c r="H5" s="226" t="s">
        <v>186</v>
      </c>
      <c r="I5" s="235">
        <v>11989799822</v>
      </c>
      <c r="J5" s="1"/>
      <c r="K5" s="232" t="s">
        <v>504</v>
      </c>
      <c r="L5" s="233">
        <v>11956078403</v>
      </c>
    </row>
    <row x14ac:dyDescent="0.25" r="6" customHeight="1" ht="18.75">
      <c r="A6" s="1"/>
      <c r="B6" s="8" t="s">
        <v>597</v>
      </c>
      <c r="C6" s="34" t="s">
        <v>598</v>
      </c>
      <c r="D6" s="1"/>
      <c r="E6" s="34" t="s">
        <v>450</v>
      </c>
      <c r="F6" s="35" t="s">
        <v>596</v>
      </c>
      <c r="G6" s="222"/>
      <c r="H6" s="226" t="s">
        <v>187</v>
      </c>
      <c r="I6" s="235">
        <v>11915300885</v>
      </c>
      <c r="J6" s="1"/>
      <c r="K6" s="232" t="s">
        <v>197</v>
      </c>
      <c r="L6" s="233">
        <v>11983693391</v>
      </c>
    </row>
    <row x14ac:dyDescent="0.25" r="7" customHeight="1" ht="18.75">
      <c r="A7" s="1"/>
      <c r="B7" s="8" t="s">
        <v>599</v>
      </c>
      <c r="C7" s="34" t="s">
        <v>52</v>
      </c>
      <c r="D7" s="1"/>
      <c r="E7" s="34" t="s">
        <v>254</v>
      </c>
      <c r="F7" s="35">
        <v>5</v>
      </c>
      <c r="G7" s="222"/>
      <c r="H7" s="226" t="s">
        <v>190</v>
      </c>
      <c r="I7" s="235">
        <v>11912334139</v>
      </c>
      <c r="J7" s="1"/>
      <c r="K7" s="232" t="s">
        <v>199</v>
      </c>
      <c r="L7" s="233">
        <v>11937409836</v>
      </c>
    </row>
    <row x14ac:dyDescent="0.25" r="8" customHeight="1" ht="18.75">
      <c r="A8" s="1"/>
      <c r="B8" s="8" t="s">
        <v>600</v>
      </c>
      <c r="C8" s="34" t="s">
        <v>291</v>
      </c>
      <c r="D8" s="1"/>
      <c r="E8" s="34" t="s">
        <v>183</v>
      </c>
      <c r="F8" s="35">
        <v>12</v>
      </c>
      <c r="G8" s="222"/>
      <c r="H8" s="226" t="s">
        <v>191</v>
      </c>
      <c r="I8" s="235">
        <v>11951737273</v>
      </c>
      <c r="J8" s="1"/>
      <c r="K8" s="232" t="s">
        <v>201</v>
      </c>
      <c r="L8" s="233">
        <v>11978760052</v>
      </c>
    </row>
    <row x14ac:dyDescent="0.25" r="9" customHeight="1" ht="18.75">
      <c r="A9" s="1"/>
      <c r="B9" s="34" t="s">
        <v>59</v>
      </c>
      <c r="C9" s="1"/>
      <c r="D9" s="1"/>
      <c r="E9" s="34" t="s">
        <v>333</v>
      </c>
      <c r="F9" s="35">
        <v>10</v>
      </c>
      <c r="G9" s="236"/>
      <c r="H9" s="226" t="s">
        <v>193</v>
      </c>
      <c r="I9" s="237" t="s">
        <v>601</v>
      </c>
      <c r="J9" s="1"/>
      <c r="K9" s="232" t="s">
        <v>204</v>
      </c>
      <c r="L9" s="233">
        <v>11955944416</v>
      </c>
    </row>
    <row x14ac:dyDescent="0.25" r="10" customHeight="1" ht="18.75">
      <c r="A10" s="1"/>
      <c r="B10" s="34" t="s">
        <v>24</v>
      </c>
      <c r="C10" s="1"/>
      <c r="D10" s="1"/>
      <c r="E10" s="1"/>
      <c r="F10" s="3"/>
      <c r="G10" s="3"/>
      <c r="H10" s="230" t="s">
        <v>406</v>
      </c>
      <c r="I10" s="231">
        <v>11911136088</v>
      </c>
      <c r="J10" s="1"/>
      <c r="K10" s="232" t="s">
        <v>101</v>
      </c>
      <c r="L10" s="233">
        <v>11914529088</v>
      </c>
    </row>
    <row x14ac:dyDescent="0.25" r="11" customHeight="1" ht="18.75">
      <c r="A11" s="1"/>
      <c r="B11" s="1"/>
      <c r="C11" s="1"/>
      <c r="D11" s="1"/>
      <c r="E11" s="1"/>
      <c r="F11" s="3"/>
      <c r="G11" s="3"/>
      <c r="H11" s="226" t="s">
        <v>196</v>
      </c>
      <c r="I11" s="237" t="s">
        <v>602</v>
      </c>
      <c r="J11" s="1"/>
      <c r="K11" s="232" t="s">
        <v>207</v>
      </c>
      <c r="L11" s="233">
        <v>11991103196</v>
      </c>
    </row>
    <row x14ac:dyDescent="0.25" r="12" customHeight="1" ht="18.75">
      <c r="A12" s="1"/>
      <c r="B12" s="1"/>
      <c r="C12" s="1"/>
      <c r="D12" s="1"/>
      <c r="E12" s="1"/>
      <c r="F12" s="3"/>
      <c r="G12" s="3"/>
      <c r="H12" s="226" t="s">
        <v>504</v>
      </c>
      <c r="I12" s="235">
        <v>11956078403</v>
      </c>
      <c r="J12" s="1"/>
      <c r="K12" s="228" t="s">
        <v>407</v>
      </c>
      <c r="L12" s="229">
        <v>11916514225</v>
      </c>
    </row>
    <row x14ac:dyDescent="0.25" r="13" customHeight="1" ht="18.75">
      <c r="A13" s="1"/>
      <c r="B13" s="1"/>
      <c r="C13" s="1"/>
      <c r="D13" s="1"/>
      <c r="E13" s="1"/>
      <c r="F13" s="3"/>
      <c r="G13" s="3"/>
      <c r="H13" s="226" t="s">
        <v>197</v>
      </c>
      <c r="I13" s="235">
        <v>11983693391</v>
      </c>
      <c r="J13" s="1"/>
      <c r="K13" s="232" t="s">
        <v>208</v>
      </c>
      <c r="L13" s="233">
        <v>11948814368</v>
      </c>
    </row>
    <row x14ac:dyDescent="0.25" r="14" customHeight="1" ht="18.75">
      <c r="A14" s="1"/>
      <c r="B14" s="1"/>
      <c r="C14" s="1"/>
      <c r="D14" s="1"/>
      <c r="E14" s="1"/>
      <c r="F14" s="3"/>
      <c r="G14" s="3"/>
      <c r="H14" s="226" t="s">
        <v>199</v>
      </c>
      <c r="I14" s="235">
        <v>11937409836</v>
      </c>
      <c r="J14" s="1"/>
      <c r="K14" s="232" t="s">
        <v>505</v>
      </c>
      <c r="L14" s="233">
        <v>11986172881</v>
      </c>
    </row>
    <row x14ac:dyDescent="0.25" r="15" customHeight="1" ht="18.75">
      <c r="A15" s="1"/>
      <c r="B15" s="1"/>
      <c r="C15" s="1"/>
      <c r="D15" s="1"/>
      <c r="E15" s="1"/>
      <c r="F15" s="3"/>
      <c r="G15" s="3"/>
      <c r="H15" s="226" t="s">
        <v>200</v>
      </c>
      <c r="I15" s="237" t="s">
        <v>603</v>
      </c>
      <c r="J15" s="1"/>
      <c r="K15" s="228" t="s">
        <v>413</v>
      </c>
      <c r="L15" s="229"/>
    </row>
    <row x14ac:dyDescent="0.25" r="16" customHeight="1" ht="18.75">
      <c r="A16" s="1"/>
      <c r="B16" s="1"/>
      <c r="C16" s="1"/>
      <c r="D16" s="1"/>
      <c r="E16" s="1"/>
      <c r="F16" s="3"/>
      <c r="G16" s="3"/>
      <c r="H16" s="226" t="s">
        <v>201</v>
      </c>
      <c r="I16" s="235">
        <v>11978760052</v>
      </c>
      <c r="J16" s="1"/>
      <c r="K16" s="232" t="s">
        <v>403</v>
      </c>
      <c r="L16" s="233">
        <v>11963046707</v>
      </c>
    </row>
    <row x14ac:dyDescent="0.25" r="17" customHeight="1" ht="18.75">
      <c r="A17" s="1"/>
      <c r="B17" s="1"/>
      <c r="C17" s="1"/>
      <c r="D17" s="1"/>
      <c r="E17" s="1"/>
      <c r="F17" s="3"/>
      <c r="G17" s="3"/>
      <c r="H17" s="226" t="s">
        <v>21</v>
      </c>
      <c r="I17" s="237" t="s">
        <v>604</v>
      </c>
      <c r="J17" s="1"/>
      <c r="K17" s="232" t="s">
        <v>512</v>
      </c>
      <c r="L17" s="233">
        <v>11949122992</v>
      </c>
    </row>
    <row x14ac:dyDescent="0.25" r="18" customHeight="1" ht="18.75">
      <c r="A18" s="1"/>
      <c r="B18" s="1"/>
      <c r="C18" s="1"/>
      <c r="D18" s="1"/>
      <c r="E18" s="1"/>
      <c r="F18" s="3"/>
      <c r="G18" s="3"/>
      <c r="H18" s="238" t="s">
        <v>108</v>
      </c>
      <c r="I18" s="239">
        <v>11942839671</v>
      </c>
      <c r="J18" s="1"/>
      <c r="K18" s="232" t="s">
        <v>212</v>
      </c>
      <c r="L18" s="233"/>
    </row>
    <row x14ac:dyDescent="0.25" r="19" customHeight="1" ht="18.75">
      <c r="A19" s="1"/>
      <c r="B19" s="1"/>
      <c r="C19" s="1"/>
      <c r="D19" s="1"/>
      <c r="E19" s="1"/>
      <c r="F19" s="3"/>
      <c r="G19" s="3"/>
      <c r="H19" s="232" t="s">
        <v>202</v>
      </c>
      <c r="I19" s="234" t="s">
        <v>605</v>
      </c>
      <c r="J19" s="1"/>
      <c r="K19" s="228" t="s">
        <v>399</v>
      </c>
      <c r="L19" s="229">
        <v>11917618449</v>
      </c>
    </row>
    <row x14ac:dyDescent="0.25" r="20" customHeight="1" ht="18.75">
      <c r="A20" s="1"/>
      <c r="B20" s="1"/>
      <c r="C20" s="1"/>
      <c r="D20" s="1"/>
      <c r="E20" s="1"/>
      <c r="F20" s="3"/>
      <c r="G20" s="3"/>
      <c r="H20" s="226" t="s">
        <v>204</v>
      </c>
      <c r="I20" s="235">
        <v>11955944416</v>
      </c>
      <c r="J20" s="1"/>
      <c r="K20" s="232" t="s">
        <v>216</v>
      </c>
      <c r="L20" s="233">
        <v>11971482968</v>
      </c>
    </row>
    <row x14ac:dyDescent="0.25" r="21" customHeight="1" ht="18.75">
      <c r="A21" s="1"/>
      <c r="B21" s="1"/>
      <c r="C21" s="1"/>
      <c r="D21" s="1"/>
      <c r="E21" s="1"/>
      <c r="F21" s="3"/>
      <c r="G21" s="3"/>
      <c r="H21" s="226" t="s">
        <v>101</v>
      </c>
      <c r="I21" s="235">
        <v>11914529088</v>
      </c>
      <c r="J21" s="1"/>
      <c r="K21" s="232" t="s">
        <v>217</v>
      </c>
      <c r="L21" s="233">
        <v>11970355431</v>
      </c>
    </row>
    <row x14ac:dyDescent="0.25" r="22" customHeight="1" ht="18.75">
      <c r="A22" s="1"/>
      <c r="B22" s="1"/>
      <c r="C22" s="1"/>
      <c r="D22" s="1"/>
      <c r="E22" s="1"/>
      <c r="F22" s="3"/>
      <c r="G22" s="3"/>
      <c r="H22" s="232" t="s">
        <v>116</v>
      </c>
      <c r="I22" s="233">
        <v>11990162996</v>
      </c>
      <c r="J22" s="1"/>
      <c r="K22" s="232" t="s">
        <v>218</v>
      </c>
      <c r="L22" s="233">
        <v>11997414630</v>
      </c>
    </row>
    <row x14ac:dyDescent="0.25" r="23" customHeight="1" ht="18.75">
      <c r="A23" s="1"/>
      <c r="B23" s="1"/>
      <c r="C23" s="1"/>
      <c r="D23" s="1"/>
      <c r="E23" s="1"/>
      <c r="F23" s="3"/>
      <c r="G23" s="3"/>
      <c r="H23" s="226" t="s">
        <v>207</v>
      </c>
      <c r="I23" s="235">
        <v>11991103196</v>
      </c>
      <c r="J23" s="1"/>
      <c r="K23" s="228" t="s">
        <v>402</v>
      </c>
      <c r="L23" s="229">
        <v>11966167538</v>
      </c>
    </row>
    <row x14ac:dyDescent="0.25" r="24" customHeight="1" ht="18.75">
      <c r="A24" s="1"/>
      <c r="B24" s="1"/>
      <c r="C24" s="1"/>
      <c r="D24" s="1"/>
      <c r="E24" s="1"/>
      <c r="F24" s="3"/>
      <c r="G24" s="3"/>
      <c r="H24" s="230" t="s">
        <v>407</v>
      </c>
      <c r="I24" s="231">
        <v>11916514225</v>
      </c>
      <c r="J24" s="1"/>
      <c r="K24" s="232" t="s">
        <v>492</v>
      </c>
      <c r="L24" s="233">
        <v>11941279224</v>
      </c>
    </row>
    <row x14ac:dyDescent="0.25" r="25" customHeight="1" ht="18.75">
      <c r="A25" s="1"/>
      <c r="B25" s="1"/>
      <c r="C25" s="1"/>
      <c r="D25" s="1"/>
      <c r="E25" s="1"/>
      <c r="F25" s="3"/>
      <c r="G25" s="3"/>
      <c r="H25" s="226" t="s">
        <v>208</v>
      </c>
      <c r="I25" s="235">
        <v>11948814368</v>
      </c>
      <c r="J25" s="1"/>
      <c r="K25" s="232" t="s">
        <v>523</v>
      </c>
      <c r="L25" s="233">
        <v>11956078403</v>
      </c>
    </row>
    <row x14ac:dyDescent="0.25" r="26" customHeight="1" ht="18.75">
      <c r="A26" s="1"/>
      <c r="B26" s="1"/>
      <c r="C26" s="1"/>
      <c r="D26" s="1"/>
      <c r="E26" s="1"/>
      <c r="F26" s="3"/>
      <c r="G26" s="3"/>
      <c r="H26" s="238" t="s">
        <v>110</v>
      </c>
      <c r="I26" s="239">
        <v>11948814368</v>
      </c>
      <c r="J26" s="1"/>
      <c r="K26" s="228" t="s">
        <v>417</v>
      </c>
      <c r="L26" s="229">
        <v>11961446999</v>
      </c>
    </row>
    <row x14ac:dyDescent="0.25" r="27" customHeight="1" ht="18.75">
      <c r="A27" s="1"/>
      <c r="B27" s="1"/>
      <c r="C27" s="1"/>
      <c r="D27" s="1"/>
      <c r="E27" s="1"/>
      <c r="F27" s="3"/>
      <c r="G27" s="3"/>
      <c r="H27" s="226" t="s">
        <v>505</v>
      </c>
      <c r="I27" s="235">
        <v>11986172881</v>
      </c>
      <c r="J27" s="1"/>
      <c r="K27" s="232" t="s">
        <v>225</v>
      </c>
      <c r="L27" s="234" t="s">
        <v>522</v>
      </c>
    </row>
    <row x14ac:dyDescent="0.25" r="28" customHeight="1" ht="18.75">
      <c r="A28" s="1"/>
      <c r="B28" s="1"/>
      <c r="C28" s="1"/>
      <c r="D28" s="1"/>
      <c r="E28" s="1"/>
      <c r="F28" s="3"/>
      <c r="G28" s="3"/>
      <c r="H28" s="226" t="s">
        <v>209</v>
      </c>
      <c r="I28" s="237" t="s">
        <v>606</v>
      </c>
      <c r="J28" s="1"/>
      <c r="K28" s="232" t="s">
        <v>75</v>
      </c>
      <c r="L28" s="233">
        <v>11956078403</v>
      </c>
    </row>
    <row x14ac:dyDescent="0.25" r="29" customHeight="1" ht="18.75">
      <c r="A29" s="1"/>
      <c r="B29" s="1"/>
      <c r="C29" s="1"/>
      <c r="D29" s="1"/>
      <c r="E29" s="1"/>
      <c r="F29" s="3"/>
      <c r="G29" s="3"/>
      <c r="H29" s="226" t="s">
        <v>512</v>
      </c>
      <c r="I29" s="235">
        <v>11949122992</v>
      </c>
      <c r="J29" s="1"/>
      <c r="K29" s="232" t="s">
        <v>510</v>
      </c>
      <c r="L29" s="233">
        <v>11917646052</v>
      </c>
    </row>
    <row x14ac:dyDescent="0.25" r="30" customHeight="1" ht="18.75">
      <c r="A30" s="1"/>
      <c r="B30" s="1"/>
      <c r="C30" s="1"/>
      <c r="D30" s="1"/>
      <c r="E30" s="1"/>
      <c r="F30" s="3"/>
      <c r="G30" s="3"/>
      <c r="H30" s="226" t="s">
        <v>136</v>
      </c>
      <c r="I30" s="235">
        <v>11963046707</v>
      </c>
      <c r="J30" s="1"/>
      <c r="K30" s="228" t="s">
        <v>416</v>
      </c>
      <c r="L30" s="229">
        <v>11930401950</v>
      </c>
    </row>
    <row x14ac:dyDescent="0.25" r="31" customHeight="1" ht="18.75">
      <c r="A31" s="1"/>
      <c r="B31" s="1"/>
      <c r="C31" s="1"/>
      <c r="D31" s="1"/>
      <c r="E31" s="1"/>
      <c r="F31" s="3"/>
      <c r="G31" s="3"/>
      <c r="H31" s="232" t="s">
        <v>210</v>
      </c>
      <c r="I31" s="240" t="s">
        <v>607</v>
      </c>
      <c r="J31" s="1"/>
      <c r="K31" s="232" t="s">
        <v>389</v>
      </c>
      <c r="L31" s="233">
        <v>11982370902</v>
      </c>
    </row>
    <row x14ac:dyDescent="0.25" r="32" customHeight="1" ht="18.75">
      <c r="A32" s="1"/>
      <c r="B32" s="1"/>
      <c r="C32" s="1"/>
      <c r="D32" s="1"/>
      <c r="E32" s="1"/>
      <c r="F32" s="3"/>
      <c r="G32" s="3"/>
      <c r="H32" s="232" t="s">
        <v>608</v>
      </c>
      <c r="I32" s="234" t="s">
        <v>603</v>
      </c>
      <c r="J32" s="1"/>
      <c r="K32" s="232" t="s">
        <v>440</v>
      </c>
      <c r="L32" s="233">
        <v>11994953526</v>
      </c>
    </row>
    <row x14ac:dyDescent="0.25" r="33" customHeight="1" ht="18.75">
      <c r="A33" s="1"/>
      <c r="B33" s="1"/>
      <c r="C33" s="1"/>
      <c r="D33" s="1"/>
      <c r="E33" s="1"/>
      <c r="F33" s="3"/>
      <c r="G33" s="3"/>
      <c r="H33" s="232" t="s">
        <v>147</v>
      </c>
      <c r="I33" s="234" t="s">
        <v>609</v>
      </c>
      <c r="J33" s="1"/>
      <c r="K33" s="232" t="s">
        <v>229</v>
      </c>
      <c r="L33" s="233">
        <v>11942802534</v>
      </c>
    </row>
    <row x14ac:dyDescent="0.25" r="34" customHeight="1" ht="18.75">
      <c r="A34" s="1"/>
      <c r="B34" s="1"/>
      <c r="C34" s="1"/>
      <c r="D34" s="1"/>
      <c r="E34" s="1"/>
      <c r="F34" s="3"/>
      <c r="G34" s="3"/>
      <c r="H34" s="230" t="s">
        <v>399</v>
      </c>
      <c r="I34" s="231">
        <v>11917618449</v>
      </c>
      <c r="J34" s="1"/>
      <c r="K34" s="232" t="s">
        <v>231</v>
      </c>
      <c r="L34" s="233">
        <v>11974438009</v>
      </c>
    </row>
    <row x14ac:dyDescent="0.25" r="35" customHeight="1" ht="18.75">
      <c r="A35" s="1"/>
      <c r="B35" s="1"/>
      <c r="C35" s="1"/>
      <c r="D35" s="1"/>
      <c r="E35" s="1"/>
      <c r="F35" s="3"/>
      <c r="G35" s="3"/>
      <c r="H35" s="226" t="s">
        <v>214</v>
      </c>
      <c r="I35" s="237" t="s">
        <v>610</v>
      </c>
      <c r="J35" s="1"/>
      <c r="K35" s="232" t="s">
        <v>485</v>
      </c>
      <c r="L35" s="233">
        <v>11974899127</v>
      </c>
    </row>
    <row x14ac:dyDescent="0.25" r="36" customHeight="1" ht="18.75">
      <c r="A36" s="1"/>
      <c r="B36" s="1"/>
      <c r="C36" s="1"/>
      <c r="D36" s="1"/>
      <c r="E36" s="1"/>
      <c r="F36" s="3"/>
      <c r="G36" s="3"/>
      <c r="H36" s="232" t="s">
        <v>215</v>
      </c>
      <c r="I36" s="234" t="s">
        <v>611</v>
      </c>
      <c r="J36" s="1"/>
      <c r="K36" s="232" t="s">
        <v>380</v>
      </c>
      <c r="L36" s="233">
        <v>11913468862</v>
      </c>
    </row>
    <row x14ac:dyDescent="0.25" r="37" customHeight="1" ht="18.75">
      <c r="A37" s="1"/>
      <c r="B37" s="1"/>
      <c r="C37" s="1"/>
      <c r="D37" s="1"/>
      <c r="E37" s="1"/>
      <c r="F37" s="3"/>
      <c r="G37" s="3"/>
      <c r="H37" s="226" t="s">
        <v>216</v>
      </c>
      <c r="I37" s="235">
        <v>11971482968</v>
      </c>
      <c r="J37" s="1"/>
      <c r="K37" s="232" t="s">
        <v>486</v>
      </c>
      <c r="L37" s="233">
        <v>11999807859</v>
      </c>
    </row>
    <row x14ac:dyDescent="0.25" r="38" customHeight="1" ht="18.75">
      <c r="A38" s="1"/>
      <c r="B38" s="1"/>
      <c r="C38" s="1"/>
      <c r="D38" s="1"/>
      <c r="E38" s="1"/>
      <c r="F38" s="3"/>
      <c r="G38" s="3"/>
      <c r="H38" s="226" t="s">
        <v>217</v>
      </c>
      <c r="I38" s="235">
        <v>11970355431</v>
      </c>
      <c r="J38" s="1"/>
      <c r="K38" s="232" t="s">
        <v>474</v>
      </c>
      <c r="L38" s="233">
        <v>11971669969</v>
      </c>
    </row>
    <row x14ac:dyDescent="0.25" r="39" customHeight="1" ht="18.75">
      <c r="A39" s="1"/>
      <c r="B39" s="1"/>
      <c r="C39" s="1"/>
      <c r="D39" s="1"/>
      <c r="E39" s="1"/>
      <c r="F39" s="3"/>
      <c r="G39" s="3"/>
      <c r="H39" s="226" t="s">
        <v>218</v>
      </c>
      <c r="I39" s="235">
        <v>11997414630</v>
      </c>
      <c r="J39" s="1"/>
      <c r="K39" s="232" t="s">
        <v>524</v>
      </c>
      <c r="L39" s="234" t="s">
        <v>525</v>
      </c>
    </row>
    <row x14ac:dyDescent="0.25" r="40" customHeight="1" ht="18.75">
      <c r="A40" s="1"/>
      <c r="B40" s="1"/>
      <c r="C40" s="1"/>
      <c r="D40" s="1"/>
      <c r="E40" s="1"/>
      <c r="F40" s="3"/>
      <c r="G40" s="3"/>
      <c r="H40" s="230" t="s">
        <v>402</v>
      </c>
      <c r="I40" s="231">
        <v>11966167538</v>
      </c>
      <c r="J40" s="1"/>
      <c r="K40" s="232" t="s">
        <v>495</v>
      </c>
      <c r="L40" s="233">
        <v>11956078403</v>
      </c>
    </row>
    <row x14ac:dyDescent="0.25" r="41" customHeight="1" ht="18.75">
      <c r="A41" s="1"/>
      <c r="B41" s="1"/>
      <c r="C41" s="1"/>
      <c r="D41" s="1"/>
      <c r="E41" s="1"/>
      <c r="F41" s="3"/>
      <c r="G41" s="3"/>
      <c r="H41" s="226" t="s">
        <v>219</v>
      </c>
      <c r="I41" s="237" t="s">
        <v>612</v>
      </c>
      <c r="J41" s="1"/>
      <c r="K41" s="232" t="s">
        <v>377</v>
      </c>
      <c r="L41" s="233">
        <v>11941559186</v>
      </c>
    </row>
    <row x14ac:dyDescent="0.25" r="42" customHeight="1" ht="18.75">
      <c r="A42" s="1"/>
      <c r="B42" s="1"/>
      <c r="C42" s="1"/>
      <c r="D42" s="1"/>
      <c r="E42" s="1"/>
      <c r="F42" s="3"/>
      <c r="G42" s="3"/>
      <c r="H42" s="232" t="s">
        <v>220</v>
      </c>
      <c r="I42" s="234" t="s">
        <v>603</v>
      </c>
      <c r="J42" s="1"/>
      <c r="K42" s="232" t="s">
        <v>457</v>
      </c>
      <c r="L42" s="233">
        <v>11978361766</v>
      </c>
    </row>
    <row x14ac:dyDescent="0.25" r="43" customHeight="1" ht="18.75">
      <c r="A43" s="1"/>
      <c r="B43" s="1"/>
      <c r="C43" s="1"/>
      <c r="D43" s="1"/>
      <c r="E43" s="1"/>
      <c r="F43" s="3"/>
      <c r="G43" s="3"/>
      <c r="H43" s="232" t="s">
        <v>221</v>
      </c>
      <c r="I43" s="240" t="s">
        <v>603</v>
      </c>
      <c r="J43" s="1"/>
      <c r="K43" s="232" t="s">
        <v>238</v>
      </c>
      <c r="L43" s="233">
        <v>11932534362</v>
      </c>
    </row>
    <row x14ac:dyDescent="0.25" r="44" customHeight="1" ht="18.75">
      <c r="A44" s="1"/>
      <c r="B44" s="1"/>
      <c r="C44" s="1"/>
      <c r="D44" s="1"/>
      <c r="E44" s="1"/>
      <c r="F44" s="3"/>
      <c r="G44" s="3"/>
      <c r="H44" s="226" t="s">
        <v>222</v>
      </c>
      <c r="I44" s="237" t="s">
        <v>613</v>
      </c>
      <c r="J44" s="1"/>
      <c r="K44" s="228" t="s">
        <v>415</v>
      </c>
      <c r="L44" s="229"/>
    </row>
    <row x14ac:dyDescent="0.25" r="45" customHeight="1" ht="18.75">
      <c r="A45" s="1"/>
      <c r="B45" s="1"/>
      <c r="C45" s="1"/>
      <c r="D45" s="1"/>
      <c r="E45" s="1"/>
      <c r="F45" s="3"/>
      <c r="G45" s="3"/>
      <c r="H45" s="226" t="s">
        <v>523</v>
      </c>
      <c r="I45" s="235">
        <v>11956078403</v>
      </c>
      <c r="J45" s="1"/>
      <c r="K45" s="228" t="s">
        <v>414</v>
      </c>
      <c r="L45" s="229"/>
    </row>
    <row x14ac:dyDescent="0.25" r="46" customHeight="1" ht="18.75">
      <c r="A46" s="1"/>
      <c r="B46" s="1"/>
      <c r="C46" s="1"/>
      <c r="D46" s="1"/>
      <c r="E46" s="1"/>
      <c r="F46" s="3"/>
      <c r="G46" s="3"/>
      <c r="H46" s="230" t="s">
        <v>417</v>
      </c>
      <c r="I46" s="231">
        <v>11961446999</v>
      </c>
      <c r="J46" s="1"/>
      <c r="K46" s="228" t="s">
        <v>424</v>
      </c>
      <c r="L46" s="229">
        <v>11932597821</v>
      </c>
    </row>
    <row x14ac:dyDescent="0.25" r="47" customHeight="1" ht="18.75">
      <c r="A47" s="1"/>
      <c r="B47" s="1"/>
      <c r="C47" s="1"/>
      <c r="D47" s="1"/>
      <c r="E47" s="1"/>
      <c r="F47" s="3"/>
      <c r="G47" s="3"/>
      <c r="H47" s="226" t="s">
        <v>224</v>
      </c>
      <c r="I47" s="237" t="s">
        <v>614</v>
      </c>
      <c r="J47" s="1"/>
      <c r="K47" s="232" t="s">
        <v>243</v>
      </c>
      <c r="L47" s="233">
        <v>11963580048</v>
      </c>
    </row>
    <row x14ac:dyDescent="0.25" r="48" customHeight="1" ht="18.75">
      <c r="A48" s="1"/>
      <c r="B48" s="1"/>
      <c r="C48" s="1"/>
      <c r="D48" s="1"/>
      <c r="E48" s="1"/>
      <c r="F48" s="3"/>
      <c r="G48" s="3"/>
      <c r="H48" s="226" t="s">
        <v>225</v>
      </c>
      <c r="I48" s="237" t="s">
        <v>522</v>
      </c>
      <c r="J48" s="1"/>
      <c r="K48" s="232" t="s">
        <v>489</v>
      </c>
      <c r="L48" s="233">
        <v>11980331851</v>
      </c>
    </row>
    <row x14ac:dyDescent="0.25" r="49" customHeight="1" ht="18.75">
      <c r="A49" s="1"/>
      <c r="B49" s="1"/>
      <c r="C49" s="1"/>
      <c r="D49" s="1"/>
      <c r="E49" s="1"/>
      <c r="F49" s="3"/>
      <c r="G49" s="3"/>
      <c r="H49" s="226" t="s">
        <v>226</v>
      </c>
      <c r="I49" s="237" t="s">
        <v>615</v>
      </c>
      <c r="J49" s="1"/>
      <c r="K49" s="228" t="s">
        <v>423</v>
      </c>
      <c r="L49" s="229">
        <v>11941455639</v>
      </c>
    </row>
    <row x14ac:dyDescent="0.25" r="50" customHeight="1" ht="18.75">
      <c r="A50" s="1"/>
      <c r="B50" s="1"/>
      <c r="C50" s="1"/>
      <c r="D50" s="1"/>
      <c r="E50" s="1"/>
      <c r="F50" s="3"/>
      <c r="G50" s="3"/>
      <c r="H50" s="226" t="s">
        <v>75</v>
      </c>
      <c r="I50" s="237" t="s">
        <v>616</v>
      </c>
      <c r="J50" s="1"/>
      <c r="K50" s="232" t="s">
        <v>458</v>
      </c>
      <c r="L50" s="233">
        <v>11941455639</v>
      </c>
    </row>
    <row x14ac:dyDescent="0.25" r="51" customHeight="1" ht="18.75">
      <c r="A51" s="1"/>
      <c r="B51" s="1"/>
      <c r="C51" s="1"/>
      <c r="D51" s="1"/>
      <c r="E51" s="1"/>
      <c r="F51" s="3"/>
      <c r="G51" s="3"/>
      <c r="H51" s="226" t="s">
        <v>510</v>
      </c>
      <c r="I51" s="237" t="s">
        <v>617</v>
      </c>
      <c r="J51" s="1"/>
      <c r="K51" s="232" t="s">
        <v>502</v>
      </c>
      <c r="L51" s="233">
        <v>11941701284</v>
      </c>
    </row>
    <row x14ac:dyDescent="0.25" r="52" customHeight="1" ht="18.75">
      <c r="A52" s="1"/>
      <c r="B52" s="1"/>
      <c r="C52" s="1"/>
      <c r="D52" s="1"/>
      <c r="E52" s="1"/>
      <c r="F52" s="3"/>
      <c r="G52" s="3"/>
      <c r="H52" s="226" t="s">
        <v>227</v>
      </c>
      <c r="I52" s="237" t="s">
        <v>618</v>
      </c>
      <c r="J52" s="1"/>
      <c r="K52" s="232" t="s">
        <v>473</v>
      </c>
      <c r="L52" s="233">
        <v>11910330339</v>
      </c>
    </row>
    <row x14ac:dyDescent="0.25" r="53" customHeight="1" ht="18.75">
      <c r="A53" s="1"/>
      <c r="B53" s="1"/>
      <c r="C53" s="1"/>
      <c r="D53" s="1"/>
      <c r="E53" s="1"/>
      <c r="F53" s="3"/>
      <c r="G53" s="3"/>
      <c r="H53" s="230" t="s">
        <v>416</v>
      </c>
      <c r="I53" s="231">
        <v>11930401950</v>
      </c>
      <c r="J53" s="1"/>
      <c r="K53" s="232" t="s">
        <v>517</v>
      </c>
      <c r="L53" s="234" t="s">
        <v>518</v>
      </c>
    </row>
    <row x14ac:dyDescent="0.25" r="54" customHeight="1" ht="18.75">
      <c r="A54" s="1"/>
      <c r="B54" s="1"/>
      <c r="C54" s="1"/>
      <c r="D54" s="1"/>
      <c r="E54" s="1"/>
      <c r="F54" s="3"/>
      <c r="G54" s="3"/>
      <c r="H54" s="226" t="s">
        <v>389</v>
      </c>
      <c r="I54" s="235">
        <v>11982370902</v>
      </c>
      <c r="J54" s="1"/>
      <c r="K54" s="232" t="s">
        <v>245</v>
      </c>
      <c r="L54" s="233">
        <v>11975763190</v>
      </c>
    </row>
    <row x14ac:dyDescent="0.25" r="55" customHeight="1" ht="18.75">
      <c r="A55" s="1"/>
      <c r="B55" s="1"/>
      <c r="C55" s="1"/>
      <c r="D55" s="1"/>
      <c r="E55" s="1"/>
      <c r="F55" s="3"/>
      <c r="G55" s="3"/>
      <c r="H55" s="226" t="s">
        <v>440</v>
      </c>
      <c r="I55" s="235">
        <v>11994953526</v>
      </c>
      <c r="J55" s="1"/>
      <c r="K55" s="232" t="s">
        <v>246</v>
      </c>
      <c r="L55" s="233">
        <v>11947563854</v>
      </c>
    </row>
    <row x14ac:dyDescent="0.25" r="56" customHeight="1" ht="18.75">
      <c r="A56" s="1"/>
      <c r="B56" s="1"/>
      <c r="C56" s="1"/>
      <c r="D56" s="1"/>
      <c r="E56" s="1"/>
      <c r="F56" s="3"/>
      <c r="G56" s="3"/>
      <c r="H56" s="226" t="s">
        <v>229</v>
      </c>
      <c r="I56" s="235">
        <v>11942802534</v>
      </c>
      <c r="J56" s="1"/>
      <c r="K56" s="228" t="s">
        <v>418</v>
      </c>
      <c r="L56" s="229">
        <v>11913278423</v>
      </c>
    </row>
    <row x14ac:dyDescent="0.25" r="57" customHeight="1" ht="18.75">
      <c r="A57" s="1"/>
      <c r="B57" s="1"/>
      <c r="C57" s="1"/>
      <c r="D57" s="1"/>
      <c r="E57" s="1"/>
      <c r="F57" s="3"/>
      <c r="G57" s="3"/>
      <c r="H57" s="226" t="s">
        <v>230</v>
      </c>
      <c r="I57" s="237" t="s">
        <v>619</v>
      </c>
      <c r="J57" s="1"/>
      <c r="K57" s="232" t="s">
        <v>445</v>
      </c>
      <c r="L57" s="233">
        <v>11910033308</v>
      </c>
    </row>
    <row x14ac:dyDescent="0.25" r="58" customHeight="1" ht="18.75">
      <c r="A58" s="1"/>
      <c r="B58" s="1"/>
      <c r="C58" s="1"/>
      <c r="D58" s="1"/>
      <c r="E58" s="1"/>
      <c r="F58" s="3"/>
      <c r="G58" s="3"/>
      <c r="H58" s="226" t="s">
        <v>620</v>
      </c>
      <c r="I58" s="235">
        <v>11974438009</v>
      </c>
      <c r="J58" s="1"/>
      <c r="K58" s="232" t="s">
        <v>386</v>
      </c>
      <c r="L58" s="233">
        <v>11999065685</v>
      </c>
    </row>
    <row x14ac:dyDescent="0.25" r="59" customHeight="1" ht="18.75">
      <c r="A59" s="1"/>
      <c r="B59" s="1"/>
      <c r="C59" s="1"/>
      <c r="D59" s="1"/>
      <c r="E59" s="1"/>
      <c r="F59" s="3"/>
      <c r="G59" s="3"/>
      <c r="H59" s="226" t="s">
        <v>232</v>
      </c>
      <c r="I59" s="235">
        <v>11957759691</v>
      </c>
      <c r="J59" s="1"/>
      <c r="K59" s="232" t="s">
        <v>253</v>
      </c>
      <c r="L59" s="233">
        <v>11941754380</v>
      </c>
    </row>
    <row x14ac:dyDescent="0.25" r="60" customHeight="1" ht="18.75">
      <c r="A60" s="1"/>
      <c r="B60" s="1"/>
      <c r="C60" s="1"/>
      <c r="D60" s="1"/>
      <c r="E60" s="1"/>
      <c r="F60" s="3"/>
      <c r="G60" s="3"/>
      <c r="H60" s="226" t="s">
        <v>233</v>
      </c>
      <c r="I60" s="231">
        <v>11974899127</v>
      </c>
      <c r="J60" s="1"/>
      <c r="K60" s="232" t="s">
        <v>255</v>
      </c>
      <c r="L60" s="233">
        <v>11962351523</v>
      </c>
    </row>
    <row x14ac:dyDescent="0.25" r="61" customHeight="1" ht="18.75">
      <c r="A61" s="1"/>
      <c r="B61" s="1"/>
      <c r="C61" s="1"/>
      <c r="D61" s="1"/>
      <c r="E61" s="1"/>
      <c r="F61" s="3"/>
      <c r="G61" s="3"/>
      <c r="H61" s="226" t="s">
        <v>91</v>
      </c>
      <c r="I61" s="235">
        <v>11913468862</v>
      </c>
      <c r="J61" s="1"/>
      <c r="K61" s="228" t="s">
        <v>427</v>
      </c>
      <c r="L61" s="229">
        <v>11987159059</v>
      </c>
    </row>
    <row x14ac:dyDescent="0.25" r="62" customHeight="1" ht="18.75">
      <c r="A62" s="1"/>
      <c r="B62" s="1"/>
      <c r="C62" s="1"/>
      <c r="D62" s="1"/>
      <c r="E62" s="1"/>
      <c r="F62" s="3"/>
      <c r="G62" s="3"/>
      <c r="H62" s="226" t="s">
        <v>486</v>
      </c>
      <c r="I62" s="235">
        <v>11999807859</v>
      </c>
      <c r="J62" s="1"/>
      <c r="K62" s="232" t="s">
        <v>379</v>
      </c>
      <c r="L62" s="233">
        <v>11915146426</v>
      </c>
    </row>
    <row x14ac:dyDescent="0.25" r="63" customHeight="1" ht="18.75">
      <c r="A63" s="1"/>
      <c r="B63" s="1"/>
      <c r="C63" s="1"/>
      <c r="D63" s="1"/>
      <c r="E63" s="1"/>
      <c r="F63" s="3"/>
      <c r="G63" s="3"/>
      <c r="H63" s="226" t="s">
        <v>235</v>
      </c>
      <c r="I63" s="235">
        <v>11971669969</v>
      </c>
      <c r="J63" s="1"/>
      <c r="K63" s="232" t="s">
        <v>448</v>
      </c>
      <c r="L63" s="233">
        <v>11994514556</v>
      </c>
    </row>
    <row x14ac:dyDescent="0.25" r="64" customHeight="1" ht="18.75">
      <c r="A64" s="1"/>
      <c r="B64" s="1"/>
      <c r="C64" s="1"/>
      <c r="D64" s="1"/>
      <c r="E64" s="1"/>
      <c r="F64" s="3"/>
      <c r="G64" s="3"/>
      <c r="H64" s="226" t="s">
        <v>524</v>
      </c>
      <c r="I64" s="237" t="s">
        <v>525</v>
      </c>
      <c r="J64" s="1"/>
      <c r="K64" s="232" t="s">
        <v>475</v>
      </c>
      <c r="L64" s="233">
        <v>11953058972</v>
      </c>
    </row>
    <row x14ac:dyDescent="0.25" r="65" customHeight="1" ht="18.75">
      <c r="A65" s="1"/>
      <c r="B65" s="1"/>
      <c r="C65" s="1"/>
      <c r="D65" s="1"/>
      <c r="E65" s="1"/>
      <c r="F65" s="3"/>
      <c r="G65" s="3"/>
      <c r="H65" s="226" t="s">
        <v>495</v>
      </c>
      <c r="I65" s="235">
        <v>11956078403</v>
      </c>
      <c r="J65" s="1"/>
      <c r="K65" s="232" t="s">
        <v>90</v>
      </c>
      <c r="L65" s="233">
        <v>11915071973</v>
      </c>
    </row>
    <row x14ac:dyDescent="0.25" r="66" customHeight="1" ht="18.75">
      <c r="A66" s="1"/>
      <c r="B66" s="1"/>
      <c r="C66" s="1"/>
      <c r="D66" s="1"/>
      <c r="E66" s="1"/>
      <c r="F66" s="3"/>
      <c r="G66" s="3"/>
      <c r="H66" s="226" t="s">
        <v>377</v>
      </c>
      <c r="I66" s="235">
        <v>11941559186</v>
      </c>
      <c r="J66" s="1"/>
      <c r="K66" s="232" t="s">
        <v>127</v>
      </c>
      <c r="L66" s="233">
        <v>11974067428</v>
      </c>
    </row>
    <row x14ac:dyDescent="0.25" r="67" customHeight="1" ht="18.75">
      <c r="A67" s="1"/>
      <c r="B67" s="1"/>
      <c r="C67" s="1"/>
      <c r="D67" s="1"/>
      <c r="E67" s="1"/>
      <c r="F67" s="3"/>
      <c r="G67" s="3"/>
      <c r="H67" s="232" t="s">
        <v>236</v>
      </c>
      <c r="I67" s="234" t="s">
        <v>603</v>
      </c>
      <c r="J67" s="1"/>
      <c r="K67" s="232" t="s">
        <v>260</v>
      </c>
      <c r="L67" s="233">
        <v>11911374811</v>
      </c>
    </row>
    <row x14ac:dyDescent="0.25" r="68" customHeight="1" ht="18.75">
      <c r="A68" s="1"/>
      <c r="B68" s="1"/>
      <c r="C68" s="1"/>
      <c r="D68" s="1"/>
      <c r="E68" s="1"/>
      <c r="F68" s="3"/>
      <c r="G68" s="3"/>
      <c r="H68" s="226" t="s">
        <v>237</v>
      </c>
      <c r="I68" s="237" t="s">
        <v>621</v>
      </c>
      <c r="J68" s="1"/>
      <c r="K68" s="232" t="s">
        <v>437</v>
      </c>
      <c r="L68" s="233">
        <v>11930797040</v>
      </c>
    </row>
    <row x14ac:dyDescent="0.25" r="69" customHeight="1" ht="18.75">
      <c r="A69" s="1"/>
      <c r="B69" s="1"/>
      <c r="C69" s="1"/>
      <c r="D69" s="1"/>
      <c r="E69" s="1"/>
      <c r="F69" s="3"/>
      <c r="G69" s="3"/>
      <c r="H69" s="226" t="s">
        <v>238</v>
      </c>
      <c r="I69" s="235">
        <v>11932534362</v>
      </c>
      <c r="J69" s="1"/>
      <c r="K69" s="232" t="s">
        <v>397</v>
      </c>
      <c r="L69" s="233">
        <v>11934673696</v>
      </c>
    </row>
    <row x14ac:dyDescent="0.25" r="70" customHeight="1" ht="18.75">
      <c r="A70" s="1"/>
      <c r="B70" s="1"/>
      <c r="C70" s="1"/>
      <c r="D70" s="1"/>
      <c r="E70" s="1"/>
      <c r="F70" s="3"/>
      <c r="G70" s="3"/>
      <c r="H70" s="238" t="s">
        <v>107</v>
      </c>
      <c r="I70" s="239">
        <v>11999197881</v>
      </c>
      <c r="J70" s="1"/>
      <c r="K70" s="232" t="s">
        <v>487</v>
      </c>
      <c r="L70" s="233">
        <v>11963533408</v>
      </c>
    </row>
    <row x14ac:dyDescent="0.25" r="71" customHeight="1" ht="18.75">
      <c r="A71" s="1"/>
      <c r="B71" s="1"/>
      <c r="C71" s="1"/>
      <c r="D71" s="1"/>
      <c r="E71" s="1"/>
      <c r="F71" s="3"/>
      <c r="G71" s="3"/>
      <c r="H71" s="226" t="s">
        <v>239</v>
      </c>
      <c r="I71" s="237" t="s">
        <v>622</v>
      </c>
      <c r="J71" s="1"/>
      <c r="K71" s="232" t="s">
        <v>264</v>
      </c>
      <c r="L71" s="233">
        <v>11964330586</v>
      </c>
    </row>
    <row x14ac:dyDescent="0.25" r="72" customHeight="1" ht="18.75">
      <c r="A72" s="1"/>
      <c r="B72" s="1"/>
      <c r="C72" s="1"/>
      <c r="D72" s="1"/>
      <c r="E72" s="1"/>
      <c r="F72" s="3"/>
      <c r="G72" s="3"/>
      <c r="H72" s="226" t="s">
        <v>240</v>
      </c>
      <c r="I72" s="237" t="s">
        <v>623</v>
      </c>
      <c r="J72" s="1"/>
      <c r="K72" s="228" t="s">
        <v>420</v>
      </c>
      <c r="L72" s="229">
        <v>11946028455</v>
      </c>
    </row>
    <row x14ac:dyDescent="0.25" r="73" customHeight="1" ht="18.75">
      <c r="A73" s="1"/>
      <c r="B73" s="1"/>
      <c r="C73" s="1"/>
      <c r="D73" s="1"/>
      <c r="E73" s="1"/>
      <c r="F73" s="3"/>
      <c r="G73" s="3"/>
      <c r="H73" s="226" t="s">
        <v>148</v>
      </c>
      <c r="I73" s="237" t="s">
        <v>624</v>
      </c>
      <c r="J73" s="1"/>
      <c r="K73" s="228" t="s">
        <v>426</v>
      </c>
      <c r="L73" s="229">
        <v>11920071045</v>
      </c>
    </row>
    <row x14ac:dyDescent="0.25" r="74" customHeight="1" ht="18.75">
      <c r="A74" s="1"/>
      <c r="B74" s="1"/>
      <c r="C74" s="1"/>
      <c r="D74" s="1"/>
      <c r="E74" s="1"/>
      <c r="F74" s="3"/>
      <c r="G74" s="3"/>
      <c r="H74" s="230" t="s">
        <v>181</v>
      </c>
      <c r="I74" s="237" t="s">
        <v>625</v>
      </c>
      <c r="J74" s="1"/>
      <c r="K74" s="232" t="s">
        <v>441</v>
      </c>
      <c r="L74" s="233">
        <v>11953493940</v>
      </c>
    </row>
    <row x14ac:dyDescent="0.25" r="75" customHeight="1" ht="18.75">
      <c r="A75" s="1"/>
      <c r="B75" s="1"/>
      <c r="C75" s="1"/>
      <c r="D75" s="1"/>
      <c r="E75" s="1"/>
      <c r="F75" s="3"/>
      <c r="G75" s="3"/>
      <c r="H75" s="226" t="s">
        <v>243</v>
      </c>
      <c r="I75" s="235">
        <v>11963580048</v>
      </c>
      <c r="J75" s="1"/>
      <c r="K75" s="232" t="s">
        <v>472</v>
      </c>
      <c r="L75" s="233">
        <v>11966492606</v>
      </c>
    </row>
    <row x14ac:dyDescent="0.25" r="76" customHeight="1" ht="18.75">
      <c r="A76" s="1"/>
      <c r="B76" s="1"/>
      <c r="C76" s="1"/>
      <c r="D76" s="1"/>
      <c r="E76" s="1"/>
      <c r="F76" s="3"/>
      <c r="G76" s="3"/>
      <c r="H76" s="232" t="s">
        <v>118</v>
      </c>
      <c r="I76" s="233">
        <v>11973792742</v>
      </c>
      <c r="J76" s="1"/>
      <c r="K76" s="232" t="s">
        <v>531</v>
      </c>
      <c r="L76" s="234" t="s">
        <v>532</v>
      </c>
    </row>
    <row x14ac:dyDescent="0.25" r="77" customHeight="1" ht="18.75">
      <c r="A77" s="1"/>
      <c r="B77" s="1"/>
      <c r="C77" s="1"/>
      <c r="D77" s="1"/>
      <c r="E77" s="1"/>
      <c r="F77" s="3"/>
      <c r="G77" s="3"/>
      <c r="H77" s="226" t="s">
        <v>489</v>
      </c>
      <c r="I77" s="235">
        <v>11980331851</v>
      </c>
      <c r="J77" s="1"/>
      <c r="K77" s="232" t="s">
        <v>490</v>
      </c>
      <c r="L77" s="40"/>
    </row>
    <row x14ac:dyDescent="0.25" r="78" customHeight="1" ht="18.75">
      <c r="A78" s="1"/>
      <c r="B78" s="1"/>
      <c r="C78" s="1"/>
      <c r="D78" s="1"/>
      <c r="E78" s="1"/>
      <c r="F78" s="3"/>
      <c r="G78" s="3"/>
      <c r="H78" s="230" t="s">
        <v>423</v>
      </c>
      <c r="I78" s="231">
        <v>11941455639</v>
      </c>
      <c r="J78" s="1"/>
      <c r="K78" s="232" t="s">
        <v>436</v>
      </c>
      <c r="L78" s="233">
        <v>11969174424</v>
      </c>
    </row>
    <row x14ac:dyDescent="0.25" r="79" customHeight="1" ht="18.75">
      <c r="A79" s="1"/>
      <c r="B79" s="1"/>
      <c r="C79" s="1"/>
      <c r="D79" s="1"/>
      <c r="E79" s="1"/>
      <c r="F79" s="3"/>
      <c r="G79" s="3"/>
      <c r="H79" s="226" t="s">
        <v>458</v>
      </c>
      <c r="I79" s="235">
        <v>11941455639</v>
      </c>
      <c r="J79" s="1"/>
      <c r="K79" s="232" t="s">
        <v>493</v>
      </c>
      <c r="L79" s="233">
        <v>11969432405</v>
      </c>
    </row>
    <row x14ac:dyDescent="0.25" r="80" customHeight="1" ht="18.75">
      <c r="A80" s="1"/>
      <c r="B80" s="1"/>
      <c r="C80" s="1"/>
      <c r="D80" s="1"/>
      <c r="E80" s="1"/>
      <c r="F80" s="3"/>
      <c r="G80" s="3"/>
      <c r="H80" s="226" t="s">
        <v>502</v>
      </c>
      <c r="I80" s="235">
        <v>11941701284</v>
      </c>
      <c r="J80" s="1"/>
      <c r="K80" s="232" t="s">
        <v>271</v>
      </c>
      <c r="L80" s="233">
        <v>11997623765</v>
      </c>
    </row>
    <row x14ac:dyDescent="0.25" r="81" customHeight="1" ht="18.75">
      <c r="A81" s="1"/>
      <c r="B81" s="1"/>
      <c r="C81" s="1"/>
      <c r="D81" s="1"/>
      <c r="E81" s="1"/>
      <c r="F81" s="3"/>
      <c r="G81" s="3"/>
      <c r="H81" s="226" t="s">
        <v>473</v>
      </c>
      <c r="I81" s="235">
        <v>11910330339</v>
      </c>
      <c r="J81" s="1"/>
      <c r="K81" s="232" t="s">
        <v>480</v>
      </c>
      <c r="L81" s="233">
        <v>11930512736</v>
      </c>
    </row>
    <row x14ac:dyDescent="0.25" r="82" customHeight="1" ht="18.75">
      <c r="A82" s="1"/>
      <c r="B82" s="1"/>
      <c r="C82" s="1"/>
      <c r="D82" s="1"/>
      <c r="E82" s="1"/>
      <c r="F82" s="3"/>
      <c r="G82" s="3"/>
      <c r="H82" s="226" t="s">
        <v>517</v>
      </c>
      <c r="I82" s="237" t="s">
        <v>518</v>
      </c>
      <c r="J82" s="1"/>
      <c r="K82" s="232" t="s">
        <v>470</v>
      </c>
      <c r="L82" s="233">
        <v>11910773358</v>
      </c>
    </row>
    <row x14ac:dyDescent="0.25" r="83" customHeight="1" ht="18.75">
      <c r="A83" s="1"/>
      <c r="B83" s="1"/>
      <c r="C83" s="1"/>
      <c r="D83" s="1"/>
      <c r="E83" s="1"/>
      <c r="F83" s="3"/>
      <c r="G83" s="3"/>
      <c r="H83" s="226" t="s">
        <v>102</v>
      </c>
      <c r="I83" s="237" t="s">
        <v>626</v>
      </c>
      <c r="J83" s="1"/>
      <c r="K83" s="232" t="s">
        <v>376</v>
      </c>
      <c r="L83" s="233">
        <v>11967101519</v>
      </c>
    </row>
    <row x14ac:dyDescent="0.25" r="84" customHeight="1" ht="18.75">
      <c r="A84" s="1"/>
      <c r="B84" s="1"/>
      <c r="C84" s="1"/>
      <c r="D84" s="1"/>
      <c r="E84" s="1"/>
      <c r="F84" s="3"/>
      <c r="G84" s="3"/>
      <c r="H84" s="232" t="s">
        <v>128</v>
      </c>
      <c r="I84" s="234" t="s">
        <v>627</v>
      </c>
      <c r="J84" s="1"/>
      <c r="K84" s="232" t="s">
        <v>138</v>
      </c>
      <c r="L84" s="233">
        <v>11983607158</v>
      </c>
    </row>
    <row x14ac:dyDescent="0.25" r="85" customHeight="1" ht="18.75">
      <c r="A85" s="1"/>
      <c r="B85" s="1"/>
      <c r="C85" s="1"/>
      <c r="D85" s="1"/>
      <c r="E85" s="1"/>
      <c r="F85" s="3"/>
      <c r="G85" s="3"/>
      <c r="H85" s="226" t="s">
        <v>244</v>
      </c>
      <c r="I85" s="237" t="s">
        <v>628</v>
      </c>
      <c r="J85" s="1"/>
      <c r="K85" s="232" t="s">
        <v>443</v>
      </c>
      <c r="L85" s="233">
        <v>11933819477</v>
      </c>
    </row>
    <row x14ac:dyDescent="0.25" r="86" customHeight="1" ht="18.75">
      <c r="A86" s="1"/>
      <c r="B86" s="1"/>
      <c r="C86" s="1"/>
      <c r="D86" s="1"/>
      <c r="E86" s="1"/>
      <c r="F86" s="3"/>
      <c r="G86" s="3"/>
      <c r="H86" s="226" t="s">
        <v>245</v>
      </c>
      <c r="I86" s="235">
        <v>11975763190</v>
      </c>
      <c r="J86" s="1"/>
      <c r="K86" s="232" t="s">
        <v>459</v>
      </c>
      <c r="L86" s="233">
        <v>11945776448</v>
      </c>
    </row>
    <row x14ac:dyDescent="0.25" r="87" customHeight="1" ht="18.75">
      <c r="A87" s="1"/>
      <c r="B87" s="1"/>
      <c r="C87" s="1"/>
      <c r="D87" s="1"/>
      <c r="E87" s="1"/>
      <c r="F87" s="3"/>
      <c r="G87" s="3"/>
      <c r="H87" s="226" t="s">
        <v>246</v>
      </c>
      <c r="I87" s="235">
        <v>11947563854</v>
      </c>
      <c r="J87" s="1"/>
      <c r="K87" s="232" t="s">
        <v>503</v>
      </c>
      <c r="L87" s="233">
        <v>11997904621</v>
      </c>
    </row>
    <row x14ac:dyDescent="0.25" r="88" customHeight="1" ht="18.75">
      <c r="A88" s="1"/>
      <c r="B88" s="1"/>
      <c r="C88" s="1"/>
      <c r="D88" s="1"/>
      <c r="E88" s="1"/>
      <c r="F88" s="3"/>
      <c r="G88" s="3"/>
      <c r="H88" s="230" t="s">
        <v>418</v>
      </c>
      <c r="I88" s="231">
        <v>11913278423</v>
      </c>
      <c r="J88" s="1"/>
      <c r="K88" s="232" t="s">
        <v>282</v>
      </c>
      <c r="L88" s="233">
        <v>11997474393</v>
      </c>
    </row>
    <row x14ac:dyDescent="0.25" r="89" customHeight="1" ht="18.75">
      <c r="A89" s="1"/>
      <c r="B89" s="1"/>
      <c r="C89" s="1"/>
      <c r="D89" s="1"/>
      <c r="E89" s="1"/>
      <c r="F89" s="3"/>
      <c r="G89" s="3"/>
      <c r="H89" s="226" t="s">
        <v>248</v>
      </c>
      <c r="I89" s="237" t="s">
        <v>629</v>
      </c>
      <c r="J89" s="1"/>
      <c r="K89" s="228" t="s">
        <v>421</v>
      </c>
      <c r="L89" s="229">
        <v>11911036051</v>
      </c>
    </row>
    <row x14ac:dyDescent="0.25" r="90" customHeight="1" ht="18.75">
      <c r="A90" s="1"/>
      <c r="B90" s="1"/>
      <c r="C90" s="1"/>
      <c r="D90" s="1"/>
      <c r="E90" s="1"/>
      <c r="F90" s="3"/>
      <c r="G90" s="3"/>
      <c r="H90" s="226" t="s">
        <v>249</v>
      </c>
      <c r="I90" s="227" t="s">
        <v>630</v>
      </c>
      <c r="J90" s="1"/>
      <c r="K90" s="232" t="s">
        <v>284</v>
      </c>
      <c r="L90" s="233">
        <v>11934895406</v>
      </c>
    </row>
    <row x14ac:dyDescent="0.25" r="91" customHeight="1" ht="18.75">
      <c r="A91" s="1"/>
      <c r="B91" s="1"/>
      <c r="C91" s="1"/>
      <c r="D91" s="1"/>
      <c r="E91" s="1"/>
      <c r="F91" s="3"/>
      <c r="G91" s="3"/>
      <c r="H91" s="232" t="s">
        <v>250</v>
      </c>
      <c r="I91" s="234" t="s">
        <v>631</v>
      </c>
      <c r="J91" s="1"/>
      <c r="K91" s="232" t="s">
        <v>398</v>
      </c>
      <c r="L91" s="233">
        <v>11934829318</v>
      </c>
    </row>
    <row x14ac:dyDescent="0.25" r="92" customHeight="1" ht="18.75">
      <c r="A92" s="1"/>
      <c r="B92" s="1"/>
      <c r="C92" s="1"/>
      <c r="D92" s="1"/>
      <c r="E92" s="1"/>
      <c r="F92" s="3"/>
      <c r="G92" s="3"/>
      <c r="H92" s="226" t="s">
        <v>251</v>
      </c>
      <c r="I92" s="235">
        <v>11999065685</v>
      </c>
      <c r="J92" s="1"/>
      <c r="K92" s="232" t="s">
        <v>286</v>
      </c>
      <c r="L92" s="233">
        <v>11970316586</v>
      </c>
    </row>
    <row x14ac:dyDescent="0.25" r="93" customHeight="1" ht="18.75">
      <c r="A93" s="1"/>
      <c r="B93" s="1"/>
      <c r="C93" s="1"/>
      <c r="D93" s="1"/>
      <c r="E93" s="1"/>
      <c r="F93" s="3"/>
      <c r="G93" s="3"/>
      <c r="H93" s="226" t="s">
        <v>252</v>
      </c>
      <c r="I93" s="227" t="s">
        <v>632</v>
      </c>
      <c r="J93" s="1"/>
      <c r="K93" s="232" t="s">
        <v>461</v>
      </c>
      <c r="L93" s="233">
        <v>11947131975</v>
      </c>
    </row>
    <row x14ac:dyDescent="0.25" r="94" customHeight="1" ht="18.75">
      <c r="A94" s="1"/>
      <c r="B94" s="1"/>
      <c r="C94" s="1"/>
      <c r="D94" s="1"/>
      <c r="E94" s="1"/>
      <c r="F94" s="3"/>
      <c r="G94" s="3"/>
      <c r="H94" s="226" t="s">
        <v>253</v>
      </c>
      <c r="I94" s="235">
        <v>11941754380</v>
      </c>
      <c r="J94" s="1"/>
      <c r="K94" s="232" t="s">
        <v>293</v>
      </c>
      <c r="L94" s="233">
        <v>11959072761</v>
      </c>
    </row>
    <row x14ac:dyDescent="0.25" r="95" customHeight="1" ht="18.75">
      <c r="A95" s="1"/>
      <c r="B95" s="1"/>
      <c r="C95" s="1"/>
      <c r="D95" s="1"/>
      <c r="E95" s="1"/>
      <c r="F95" s="3"/>
      <c r="G95" s="3"/>
      <c r="H95" s="226" t="s">
        <v>255</v>
      </c>
      <c r="I95" s="235">
        <v>11962351523</v>
      </c>
      <c r="J95" s="1"/>
      <c r="K95" s="232" t="s">
        <v>471</v>
      </c>
      <c r="L95" s="233">
        <v>11919941682</v>
      </c>
    </row>
    <row x14ac:dyDescent="0.25" r="96" customHeight="1" ht="18.75">
      <c r="A96" s="1"/>
      <c r="B96" s="1"/>
      <c r="C96" s="1"/>
      <c r="D96" s="1"/>
      <c r="E96" s="1"/>
      <c r="F96" s="3"/>
      <c r="G96" s="3"/>
      <c r="H96" s="226" t="s">
        <v>256</v>
      </c>
      <c r="I96" s="237" t="s">
        <v>633</v>
      </c>
      <c r="J96" s="1"/>
      <c r="K96" s="232" t="s">
        <v>446</v>
      </c>
      <c r="L96" s="233">
        <v>11916519986</v>
      </c>
    </row>
    <row x14ac:dyDescent="0.25" r="97" customHeight="1" ht="18.75">
      <c r="A97" s="1"/>
      <c r="B97" s="1"/>
      <c r="C97" s="1"/>
      <c r="D97" s="1"/>
      <c r="E97" s="1"/>
      <c r="F97" s="3"/>
      <c r="G97" s="3"/>
      <c r="H97" s="226" t="s">
        <v>100</v>
      </c>
      <c r="I97" s="237" t="s">
        <v>634</v>
      </c>
      <c r="J97" s="1"/>
      <c r="K97" s="232" t="s">
        <v>434</v>
      </c>
      <c r="L97" s="40"/>
    </row>
    <row x14ac:dyDescent="0.25" r="98" customHeight="1" ht="18.75">
      <c r="A98" s="1"/>
      <c r="B98" s="1"/>
      <c r="C98" s="1"/>
      <c r="D98" s="1"/>
      <c r="E98" s="1"/>
      <c r="F98" s="3"/>
      <c r="G98" s="3"/>
      <c r="H98" s="226" t="s">
        <v>257</v>
      </c>
      <c r="I98" s="237" t="s">
        <v>635</v>
      </c>
      <c r="J98" s="1"/>
      <c r="K98" s="232" t="s">
        <v>297</v>
      </c>
      <c r="L98" s="233">
        <v>11993519472</v>
      </c>
    </row>
    <row x14ac:dyDescent="0.25" r="99" customHeight="1" ht="18.75">
      <c r="A99" s="1"/>
      <c r="B99" s="1"/>
      <c r="C99" s="1"/>
      <c r="D99" s="1"/>
      <c r="E99" s="1"/>
      <c r="F99" s="3"/>
      <c r="G99" s="3"/>
      <c r="H99" s="232" t="s">
        <v>115</v>
      </c>
      <c r="I99" s="234" t="s">
        <v>636</v>
      </c>
      <c r="J99" s="1"/>
      <c r="K99" s="232" t="s">
        <v>381</v>
      </c>
      <c r="L99" s="233">
        <v>11978048565</v>
      </c>
    </row>
    <row x14ac:dyDescent="0.25" r="100" customHeight="1" ht="18.75">
      <c r="A100" s="1"/>
      <c r="B100" s="1"/>
      <c r="C100" s="1"/>
      <c r="D100" s="1"/>
      <c r="E100" s="1"/>
      <c r="F100" s="3"/>
      <c r="G100" s="3"/>
      <c r="H100" s="226" t="s">
        <v>258</v>
      </c>
      <c r="I100" s="237" t="s">
        <v>637</v>
      </c>
      <c r="J100" s="1"/>
      <c r="K100" s="232" t="s">
        <v>300</v>
      </c>
      <c r="L100" s="233">
        <v>11970263134</v>
      </c>
    </row>
    <row x14ac:dyDescent="0.25" r="101" customHeight="1" ht="18.75">
      <c r="A101" s="1"/>
      <c r="B101" s="1"/>
      <c r="C101" s="1"/>
      <c r="D101" s="1"/>
      <c r="E101" s="1"/>
      <c r="F101" s="3"/>
      <c r="G101" s="3"/>
      <c r="H101" s="226" t="s">
        <v>259</v>
      </c>
      <c r="I101" s="237" t="s">
        <v>638</v>
      </c>
      <c r="J101" s="1"/>
      <c r="K101" s="232" t="s">
        <v>302</v>
      </c>
      <c r="L101" s="233">
        <v>11975037390</v>
      </c>
    </row>
    <row x14ac:dyDescent="0.25" r="102" customHeight="1" ht="18.75">
      <c r="A102" s="1"/>
      <c r="B102" s="1"/>
      <c r="C102" s="1"/>
      <c r="D102" s="1"/>
      <c r="E102" s="1"/>
      <c r="F102" s="3"/>
      <c r="G102" s="3"/>
      <c r="H102" s="226" t="s">
        <v>448</v>
      </c>
      <c r="I102" s="235">
        <v>11994514556</v>
      </c>
      <c r="J102" s="1"/>
      <c r="K102" s="228" t="s">
        <v>422</v>
      </c>
      <c r="L102" s="229">
        <v>11936182364</v>
      </c>
    </row>
    <row x14ac:dyDescent="0.25" r="103" customHeight="1" ht="18.75">
      <c r="A103" s="1"/>
      <c r="B103" s="1"/>
      <c r="C103" s="1"/>
      <c r="D103" s="1"/>
      <c r="E103" s="1"/>
      <c r="F103" s="3"/>
      <c r="G103" s="3"/>
      <c r="H103" s="226" t="s">
        <v>141</v>
      </c>
      <c r="I103" s="237" t="s">
        <v>639</v>
      </c>
      <c r="J103" s="1"/>
      <c r="K103" s="232" t="s">
        <v>96</v>
      </c>
      <c r="L103" s="233">
        <v>11971614548</v>
      </c>
    </row>
    <row x14ac:dyDescent="0.25" r="104" customHeight="1" ht="18.75">
      <c r="A104" s="1"/>
      <c r="B104" s="1"/>
      <c r="C104" s="1"/>
      <c r="D104" s="1"/>
      <c r="E104" s="1"/>
      <c r="F104" s="3"/>
      <c r="G104" s="3"/>
      <c r="H104" s="226" t="s">
        <v>475</v>
      </c>
      <c r="I104" s="235">
        <v>11953058972</v>
      </c>
      <c r="J104" s="1"/>
      <c r="K104" s="232" t="s">
        <v>513</v>
      </c>
      <c r="L104" s="233">
        <v>11988971062</v>
      </c>
    </row>
    <row x14ac:dyDescent="0.25" r="105" customHeight="1" ht="18.75">
      <c r="A105" s="1"/>
      <c r="B105" s="1"/>
      <c r="C105" s="1"/>
      <c r="D105" s="1"/>
      <c r="E105" s="1"/>
      <c r="F105" s="3"/>
      <c r="G105" s="3"/>
      <c r="H105" s="226" t="s">
        <v>90</v>
      </c>
      <c r="I105" s="237" t="s">
        <v>640</v>
      </c>
      <c r="J105" s="1"/>
      <c r="K105" s="232" t="s">
        <v>481</v>
      </c>
      <c r="L105" s="233">
        <v>11952748867</v>
      </c>
    </row>
    <row x14ac:dyDescent="0.25" r="106" customHeight="1" ht="18.75">
      <c r="A106" s="1"/>
      <c r="B106" s="1"/>
      <c r="C106" s="1"/>
      <c r="D106" s="1"/>
      <c r="E106" s="1"/>
      <c r="F106" s="3"/>
      <c r="G106" s="3"/>
      <c r="H106" s="230" t="s">
        <v>103</v>
      </c>
      <c r="I106" s="235">
        <v>11968813826</v>
      </c>
      <c r="J106" s="1"/>
      <c r="K106" s="232" t="s">
        <v>501</v>
      </c>
      <c r="L106" s="233">
        <v>11997809762</v>
      </c>
    </row>
    <row x14ac:dyDescent="0.25" r="107" customHeight="1" ht="18.75">
      <c r="A107" s="1"/>
      <c r="B107" s="1"/>
      <c r="C107" s="1"/>
      <c r="D107" s="1"/>
      <c r="E107" s="1"/>
      <c r="F107" s="3"/>
      <c r="G107" s="3"/>
      <c r="H107" s="226" t="s">
        <v>127</v>
      </c>
      <c r="I107" s="235">
        <v>11974067428</v>
      </c>
      <c r="J107" s="1"/>
      <c r="K107" s="232" t="s">
        <v>511</v>
      </c>
      <c r="L107" s="40"/>
    </row>
    <row x14ac:dyDescent="0.25" r="108" customHeight="1" ht="18.75">
      <c r="A108" s="1"/>
      <c r="B108" s="1"/>
      <c r="C108" s="1"/>
      <c r="D108" s="1"/>
      <c r="E108" s="1"/>
      <c r="F108" s="3"/>
      <c r="G108" s="3"/>
      <c r="H108" s="226" t="s">
        <v>260</v>
      </c>
      <c r="I108" s="235">
        <v>11911374811</v>
      </c>
      <c r="J108" s="1"/>
      <c r="K108" s="232" t="s">
        <v>482</v>
      </c>
      <c r="L108" s="233">
        <v>11982375565</v>
      </c>
    </row>
    <row x14ac:dyDescent="0.25" r="109" customHeight="1" ht="18.75">
      <c r="A109" s="1"/>
      <c r="B109" s="1"/>
      <c r="C109" s="1"/>
      <c r="D109" s="1"/>
      <c r="E109" s="1"/>
      <c r="F109" s="3"/>
      <c r="G109" s="3"/>
      <c r="H109" s="226" t="s">
        <v>437</v>
      </c>
      <c r="I109" s="235">
        <v>11930797040</v>
      </c>
      <c r="J109" s="1"/>
      <c r="K109" s="228" t="s">
        <v>312</v>
      </c>
      <c r="L109" s="229">
        <v>11957241015</v>
      </c>
    </row>
    <row x14ac:dyDescent="0.25" r="110" customHeight="1" ht="18.75">
      <c r="A110" s="1"/>
      <c r="B110" s="1"/>
      <c r="C110" s="1"/>
      <c r="D110" s="1"/>
      <c r="E110" s="1"/>
      <c r="F110" s="3"/>
      <c r="G110" s="3"/>
      <c r="H110" s="232" t="s">
        <v>261</v>
      </c>
      <c r="I110" s="234" t="s">
        <v>603</v>
      </c>
      <c r="J110" s="1"/>
      <c r="K110" s="232" t="s">
        <v>533</v>
      </c>
      <c r="L110" s="233">
        <v>11950611303</v>
      </c>
    </row>
    <row x14ac:dyDescent="0.25" r="111" customHeight="1" ht="18.75">
      <c r="A111" s="1"/>
      <c r="B111" s="1"/>
      <c r="C111" s="1"/>
      <c r="D111" s="1"/>
      <c r="E111" s="1"/>
      <c r="F111" s="3"/>
      <c r="G111" s="3"/>
      <c r="H111" s="226" t="s">
        <v>397</v>
      </c>
      <c r="I111" s="235">
        <v>11934673696</v>
      </c>
      <c r="J111" s="1"/>
      <c r="K111" s="232" t="s">
        <v>432</v>
      </c>
      <c r="L111" s="233">
        <v>11959434978</v>
      </c>
    </row>
    <row x14ac:dyDescent="0.25" r="112" customHeight="1" ht="18.75">
      <c r="A112" s="1"/>
      <c r="B112" s="1"/>
      <c r="C112" s="1"/>
      <c r="D112" s="1"/>
      <c r="E112" s="1"/>
      <c r="F112" s="3"/>
      <c r="G112" s="3"/>
      <c r="H112" s="226" t="s">
        <v>487</v>
      </c>
      <c r="I112" s="235">
        <v>11963533408</v>
      </c>
      <c r="J112" s="1"/>
      <c r="K112" s="232" t="s">
        <v>449</v>
      </c>
      <c r="L112" s="233">
        <v>11952223528</v>
      </c>
    </row>
    <row x14ac:dyDescent="0.25" r="113" customHeight="1" ht="18.75">
      <c r="A113" s="1"/>
      <c r="B113" s="1"/>
      <c r="C113" s="1"/>
      <c r="D113" s="1"/>
      <c r="E113" s="1"/>
      <c r="F113" s="3"/>
      <c r="G113" s="3"/>
      <c r="H113" s="238" t="s">
        <v>112</v>
      </c>
      <c r="I113" s="239">
        <v>11975566582</v>
      </c>
      <c r="J113" s="1"/>
      <c r="K113" s="232" t="s">
        <v>313</v>
      </c>
      <c r="L113" s="233">
        <v>11963376073</v>
      </c>
    </row>
    <row x14ac:dyDescent="0.25" r="114" customHeight="1" ht="18.75">
      <c r="A114" s="1"/>
      <c r="B114" s="1"/>
      <c r="C114" s="1"/>
      <c r="D114" s="1"/>
      <c r="E114" s="1"/>
      <c r="F114" s="3"/>
      <c r="G114" s="3"/>
      <c r="H114" s="232" t="s">
        <v>125</v>
      </c>
      <c r="I114" s="234" t="s">
        <v>641</v>
      </c>
      <c r="J114" s="1"/>
      <c r="K114" s="228" t="s">
        <v>419</v>
      </c>
      <c r="L114" s="229">
        <v>11957134404</v>
      </c>
    </row>
    <row x14ac:dyDescent="0.25" r="115" customHeight="1" ht="18.75">
      <c r="A115" s="1"/>
      <c r="B115" s="1"/>
      <c r="C115" s="1"/>
      <c r="D115" s="1"/>
      <c r="E115" s="1"/>
      <c r="F115" s="3"/>
      <c r="G115" s="3"/>
      <c r="H115" s="232" t="s">
        <v>262</v>
      </c>
      <c r="I115" s="234" t="s">
        <v>642</v>
      </c>
      <c r="J115" s="1"/>
      <c r="K115" s="232" t="s">
        <v>447</v>
      </c>
      <c r="L115" s="40"/>
    </row>
    <row x14ac:dyDescent="0.25" r="116" customHeight="1" ht="18.75">
      <c r="A116" s="1"/>
      <c r="B116" s="1"/>
      <c r="C116" s="1"/>
      <c r="D116" s="1"/>
      <c r="E116" s="1"/>
      <c r="F116" s="3"/>
      <c r="G116" s="3"/>
      <c r="H116" s="230" t="s">
        <v>130</v>
      </c>
      <c r="I116" s="235">
        <v>11998447091</v>
      </c>
      <c r="J116" s="1"/>
      <c r="K116" s="232" t="s">
        <v>382</v>
      </c>
      <c r="L116" s="233">
        <v>11914797854</v>
      </c>
    </row>
    <row x14ac:dyDescent="0.25" r="117" customHeight="1" ht="18.75">
      <c r="A117" s="1"/>
      <c r="B117" s="1"/>
      <c r="C117" s="1"/>
      <c r="D117" s="1"/>
      <c r="E117" s="1"/>
      <c r="F117" s="3"/>
      <c r="G117" s="3"/>
      <c r="H117" s="226" t="s">
        <v>264</v>
      </c>
      <c r="I117" s="227" t="s">
        <v>643</v>
      </c>
      <c r="J117" s="1"/>
      <c r="K117" s="232" t="s">
        <v>494</v>
      </c>
      <c r="L117" s="233">
        <v>11957849656</v>
      </c>
    </row>
    <row x14ac:dyDescent="0.25" r="118" customHeight="1" ht="18.75">
      <c r="A118" s="1"/>
      <c r="B118" s="1"/>
      <c r="C118" s="1"/>
      <c r="D118" s="1"/>
      <c r="E118" s="1"/>
      <c r="F118" s="3"/>
      <c r="G118" s="3"/>
      <c r="H118" s="226" t="s">
        <v>265</v>
      </c>
      <c r="I118" s="237" t="s">
        <v>644</v>
      </c>
      <c r="J118" s="1"/>
      <c r="K118" s="232" t="s">
        <v>465</v>
      </c>
      <c r="L118" s="233">
        <v>11961005168</v>
      </c>
    </row>
    <row x14ac:dyDescent="0.25" r="119" customHeight="1" ht="18.75">
      <c r="A119" s="1"/>
      <c r="B119" s="1"/>
      <c r="C119" s="1"/>
      <c r="D119" s="1"/>
      <c r="E119" s="1"/>
      <c r="F119" s="3"/>
      <c r="G119" s="3"/>
      <c r="H119" s="228" t="s">
        <v>267</v>
      </c>
      <c r="I119" s="234" t="s">
        <v>645</v>
      </c>
      <c r="J119" s="1"/>
      <c r="K119" s="228" t="s">
        <v>412</v>
      </c>
      <c r="L119" s="229">
        <v>11947795210</v>
      </c>
    </row>
    <row x14ac:dyDescent="0.25" r="120" customHeight="1" ht="18.75">
      <c r="A120" s="1"/>
      <c r="B120" s="1"/>
      <c r="C120" s="1"/>
      <c r="D120" s="1"/>
      <c r="E120" s="1"/>
      <c r="F120" s="3"/>
      <c r="G120" s="3"/>
      <c r="H120" s="226" t="s">
        <v>441</v>
      </c>
      <c r="I120" s="235">
        <v>11953493940</v>
      </c>
      <c r="J120" s="1"/>
      <c r="K120" s="232" t="s">
        <v>519</v>
      </c>
      <c r="L120" s="234" t="s">
        <v>520</v>
      </c>
    </row>
    <row x14ac:dyDescent="0.25" r="121" customHeight="1" ht="18.75">
      <c r="A121" s="1"/>
      <c r="B121" s="1"/>
      <c r="C121" s="1"/>
      <c r="D121" s="1"/>
      <c r="E121" s="1"/>
      <c r="F121" s="3"/>
      <c r="G121" s="3"/>
      <c r="H121" s="226" t="s">
        <v>268</v>
      </c>
      <c r="I121" s="235">
        <v>11966492606</v>
      </c>
      <c r="J121" s="1"/>
      <c r="K121" s="232" t="s">
        <v>405</v>
      </c>
      <c r="L121" s="233">
        <v>11943613294</v>
      </c>
    </row>
    <row x14ac:dyDescent="0.25" r="122" customHeight="1" ht="18.75">
      <c r="A122" s="1"/>
      <c r="B122" s="1"/>
      <c r="C122" s="1"/>
      <c r="D122" s="1"/>
      <c r="E122" s="1"/>
      <c r="F122" s="3"/>
      <c r="G122" s="3"/>
      <c r="H122" s="232" t="s">
        <v>117</v>
      </c>
      <c r="I122" s="233">
        <v>11975984765</v>
      </c>
      <c r="J122" s="1"/>
      <c r="K122" s="232" t="s">
        <v>378</v>
      </c>
      <c r="L122" s="233">
        <v>11968302654</v>
      </c>
    </row>
    <row x14ac:dyDescent="0.25" r="123" customHeight="1" ht="18.75">
      <c r="A123" s="1"/>
      <c r="B123" s="1"/>
      <c r="C123" s="1"/>
      <c r="D123" s="1"/>
      <c r="E123" s="1"/>
      <c r="F123" s="3"/>
      <c r="G123" s="3"/>
      <c r="H123" s="226" t="s">
        <v>270</v>
      </c>
      <c r="I123" s="237" t="s">
        <v>532</v>
      </c>
      <c r="J123" s="1"/>
      <c r="K123" s="232" t="s">
        <v>321</v>
      </c>
      <c r="L123" s="233">
        <v>11968281220</v>
      </c>
    </row>
    <row x14ac:dyDescent="0.25" r="124" customHeight="1" ht="18.75">
      <c r="A124" s="1"/>
      <c r="B124" s="1"/>
      <c r="C124" s="1"/>
      <c r="D124" s="1"/>
      <c r="E124" s="1"/>
      <c r="F124" s="3"/>
      <c r="G124" s="3"/>
      <c r="H124" s="232" t="s">
        <v>124</v>
      </c>
      <c r="I124" s="234" t="s">
        <v>646</v>
      </c>
      <c r="J124" s="1"/>
      <c r="K124" s="232" t="s">
        <v>462</v>
      </c>
      <c r="L124" s="233">
        <v>11939417996</v>
      </c>
    </row>
    <row x14ac:dyDescent="0.25" r="125" customHeight="1" ht="18.75">
      <c r="A125" s="1"/>
      <c r="B125" s="1"/>
      <c r="C125" s="1"/>
      <c r="D125" s="1"/>
      <c r="E125" s="1"/>
      <c r="F125" s="3"/>
      <c r="G125" s="3"/>
      <c r="H125" s="226" t="s">
        <v>490</v>
      </c>
      <c r="I125" s="237" t="s">
        <v>491</v>
      </c>
      <c r="J125" s="1"/>
      <c r="K125" s="232" t="s">
        <v>463</v>
      </c>
      <c r="L125" s="233">
        <v>11911771198</v>
      </c>
    </row>
    <row x14ac:dyDescent="0.25" r="126" customHeight="1" ht="18.75">
      <c r="A126" s="1"/>
      <c r="B126" s="1"/>
      <c r="C126" s="1"/>
      <c r="D126" s="1"/>
      <c r="E126" s="1"/>
      <c r="F126" s="3"/>
      <c r="G126" s="3"/>
      <c r="H126" s="226" t="s">
        <v>436</v>
      </c>
      <c r="I126" s="235">
        <v>11969174424</v>
      </c>
      <c r="J126" s="1"/>
      <c r="K126" s="232" t="s">
        <v>391</v>
      </c>
      <c r="L126" s="233">
        <v>11995677180</v>
      </c>
    </row>
    <row x14ac:dyDescent="0.25" r="127" customHeight="1" ht="18.75">
      <c r="A127" s="1"/>
      <c r="B127" s="1"/>
      <c r="C127" s="1"/>
      <c r="D127" s="1"/>
      <c r="E127" s="1"/>
      <c r="F127" s="3"/>
      <c r="G127" s="3"/>
      <c r="H127" s="226" t="s">
        <v>493</v>
      </c>
      <c r="I127" s="235">
        <v>11969432405</v>
      </c>
      <c r="J127" s="1"/>
      <c r="K127" s="228" t="s">
        <v>322</v>
      </c>
      <c r="L127" s="229">
        <v>11956559415</v>
      </c>
    </row>
    <row x14ac:dyDescent="0.25" r="128" customHeight="1" ht="18.75">
      <c r="A128" s="1"/>
      <c r="B128" s="1"/>
      <c r="C128" s="1"/>
      <c r="D128" s="1"/>
      <c r="E128" s="1"/>
      <c r="F128" s="3"/>
      <c r="G128" s="3"/>
      <c r="H128" s="226" t="s">
        <v>271</v>
      </c>
      <c r="I128" s="235">
        <v>11997623765</v>
      </c>
      <c r="J128" s="1"/>
      <c r="K128" s="232" t="s">
        <v>324</v>
      </c>
      <c r="L128" s="233">
        <v>11972383586</v>
      </c>
    </row>
    <row x14ac:dyDescent="0.25" r="129" customHeight="1" ht="18.75">
      <c r="A129" s="1"/>
      <c r="B129" s="1"/>
      <c r="C129" s="1"/>
      <c r="D129" s="1"/>
      <c r="E129" s="1"/>
      <c r="F129" s="3"/>
      <c r="G129" s="3"/>
      <c r="H129" s="232" t="s">
        <v>272</v>
      </c>
      <c r="I129" s="234" t="s">
        <v>603</v>
      </c>
      <c r="J129" s="1"/>
      <c r="K129" s="232" t="s">
        <v>327</v>
      </c>
      <c r="L129" s="233">
        <v>11993843914</v>
      </c>
    </row>
    <row x14ac:dyDescent="0.25" r="130" customHeight="1" ht="18.75">
      <c r="A130" s="1"/>
      <c r="B130" s="1"/>
      <c r="C130" s="1"/>
      <c r="D130" s="1"/>
      <c r="E130" s="1"/>
      <c r="F130" s="3"/>
      <c r="G130" s="3"/>
      <c r="H130" s="226" t="s">
        <v>480</v>
      </c>
      <c r="I130" s="235">
        <v>11930512736</v>
      </c>
      <c r="J130" s="1"/>
      <c r="K130" s="228" t="s">
        <v>411</v>
      </c>
      <c r="L130" s="229">
        <v>11961786623</v>
      </c>
    </row>
    <row x14ac:dyDescent="0.25" r="131" customHeight="1" ht="18.75">
      <c r="A131" s="1"/>
      <c r="B131" s="1"/>
      <c r="C131" s="1"/>
      <c r="D131" s="1"/>
      <c r="E131" s="1"/>
      <c r="F131" s="3"/>
      <c r="G131" s="3"/>
      <c r="H131" s="226" t="s">
        <v>273</v>
      </c>
      <c r="I131" s="237" t="s">
        <v>647</v>
      </c>
      <c r="J131" s="1"/>
      <c r="K131" s="228" t="s">
        <v>329</v>
      </c>
      <c r="L131" s="229">
        <v>11991695773</v>
      </c>
    </row>
    <row x14ac:dyDescent="0.25" r="132" customHeight="1" ht="18.75">
      <c r="A132" s="1"/>
      <c r="B132" s="1"/>
      <c r="C132" s="1"/>
      <c r="D132" s="1"/>
      <c r="E132" s="1"/>
      <c r="F132" s="3"/>
      <c r="G132" s="3"/>
      <c r="H132" s="226" t="s">
        <v>470</v>
      </c>
      <c r="I132" s="235">
        <v>11910773358</v>
      </c>
      <c r="J132" s="1"/>
      <c r="K132" s="232" t="s">
        <v>468</v>
      </c>
      <c r="L132" s="233">
        <v>11990199277</v>
      </c>
    </row>
    <row x14ac:dyDescent="0.25" r="133" customHeight="1" ht="18.75">
      <c r="A133" s="1"/>
      <c r="B133" s="1"/>
      <c r="C133" s="1"/>
      <c r="D133" s="1"/>
      <c r="E133" s="1"/>
      <c r="F133" s="3"/>
      <c r="G133" s="3"/>
      <c r="H133" s="226" t="s">
        <v>376</v>
      </c>
      <c r="I133" s="235">
        <v>11967101519</v>
      </c>
      <c r="J133" s="1"/>
      <c r="K133" s="232" t="s">
        <v>331</v>
      </c>
      <c r="L133" s="233">
        <v>11988916124</v>
      </c>
    </row>
    <row x14ac:dyDescent="0.25" r="134" customHeight="1" ht="18.75">
      <c r="A134" s="1"/>
      <c r="B134" s="1"/>
      <c r="C134" s="1"/>
      <c r="D134" s="1"/>
      <c r="E134" s="1"/>
      <c r="F134" s="3"/>
      <c r="G134" s="3"/>
      <c r="H134" s="226" t="s">
        <v>274</v>
      </c>
      <c r="I134" s="237" t="s">
        <v>648</v>
      </c>
      <c r="J134" s="1"/>
      <c r="K134" s="232" t="s">
        <v>137</v>
      </c>
      <c r="L134" s="233">
        <v>11958078086</v>
      </c>
    </row>
    <row x14ac:dyDescent="0.25" r="135" customHeight="1" ht="18.75">
      <c r="A135" s="1"/>
      <c r="B135" s="1"/>
      <c r="C135" s="1"/>
      <c r="D135" s="1"/>
      <c r="E135" s="1"/>
      <c r="F135" s="3"/>
      <c r="G135" s="3"/>
      <c r="H135" s="232" t="s">
        <v>138</v>
      </c>
      <c r="I135" s="234" t="s">
        <v>649</v>
      </c>
      <c r="J135" s="1"/>
      <c r="K135" s="232" t="s">
        <v>384</v>
      </c>
      <c r="L135" s="233">
        <v>11982757475</v>
      </c>
    </row>
    <row x14ac:dyDescent="0.25" r="136" customHeight="1" ht="18.75">
      <c r="A136" s="1"/>
      <c r="B136" s="1"/>
      <c r="C136" s="1"/>
      <c r="D136" s="1"/>
      <c r="E136" s="1"/>
      <c r="F136" s="3"/>
      <c r="G136" s="3"/>
      <c r="H136" s="226" t="s">
        <v>276</v>
      </c>
      <c r="I136" s="235">
        <v>11933819477</v>
      </c>
      <c r="J136" s="1"/>
      <c r="K136" s="232" t="s">
        <v>453</v>
      </c>
      <c r="L136" s="233">
        <v>11997902808</v>
      </c>
    </row>
    <row x14ac:dyDescent="0.25" r="137" customHeight="1" ht="18.75">
      <c r="A137" s="1"/>
      <c r="B137" s="1"/>
      <c r="C137" s="1"/>
      <c r="D137" s="1"/>
      <c r="E137" s="1"/>
      <c r="F137" s="3"/>
      <c r="G137" s="3"/>
      <c r="H137" s="226" t="s">
        <v>459</v>
      </c>
      <c r="I137" s="235">
        <v>11945776448</v>
      </c>
      <c r="J137" s="1"/>
      <c r="K137" s="232" t="s">
        <v>496</v>
      </c>
      <c r="L137" s="233">
        <v>11975644983</v>
      </c>
    </row>
    <row x14ac:dyDescent="0.25" r="138" customHeight="1" ht="18.75">
      <c r="A138" s="1"/>
      <c r="B138" s="1"/>
      <c r="C138" s="1"/>
      <c r="D138" s="1"/>
      <c r="E138" s="1"/>
      <c r="F138" s="3"/>
      <c r="G138" s="3"/>
      <c r="H138" s="232" t="s">
        <v>278</v>
      </c>
      <c r="I138" s="234" t="s">
        <v>650</v>
      </c>
      <c r="J138" s="1"/>
      <c r="K138" s="232" t="s">
        <v>496</v>
      </c>
      <c r="L138" s="233">
        <v>11999807859</v>
      </c>
    </row>
    <row x14ac:dyDescent="0.25" r="139" customHeight="1" ht="18.75">
      <c r="A139" s="1"/>
      <c r="B139" s="1"/>
      <c r="C139" s="1"/>
      <c r="D139" s="1"/>
      <c r="E139" s="1"/>
      <c r="F139" s="3"/>
      <c r="G139" s="3"/>
      <c r="H139" s="226" t="s">
        <v>503</v>
      </c>
      <c r="I139" s="235">
        <v>11997904621</v>
      </c>
      <c r="J139" s="1"/>
      <c r="K139" s="232" t="s">
        <v>404</v>
      </c>
      <c r="L139" s="233">
        <v>11945366759</v>
      </c>
    </row>
    <row x14ac:dyDescent="0.25" r="140" customHeight="1" ht="18.75">
      <c r="A140" s="1"/>
      <c r="B140" s="1"/>
      <c r="C140" s="1"/>
      <c r="D140" s="1"/>
      <c r="E140" s="1"/>
      <c r="F140" s="3"/>
      <c r="G140" s="3"/>
      <c r="H140" s="226" t="s">
        <v>279</v>
      </c>
      <c r="I140" s="237" t="s">
        <v>651</v>
      </c>
      <c r="J140" s="1"/>
      <c r="K140" s="232" t="s">
        <v>477</v>
      </c>
      <c r="L140" s="233">
        <v>11948155260</v>
      </c>
    </row>
    <row x14ac:dyDescent="0.25" r="141" customHeight="1" ht="18.75">
      <c r="A141" s="1"/>
      <c r="B141" s="1"/>
      <c r="C141" s="1"/>
      <c r="D141" s="1"/>
      <c r="E141" s="1"/>
      <c r="F141" s="3"/>
      <c r="G141" s="3"/>
      <c r="H141" s="226" t="s">
        <v>280</v>
      </c>
      <c r="I141" s="237" t="s">
        <v>652</v>
      </c>
      <c r="J141" s="1"/>
      <c r="K141" s="232" t="s">
        <v>435</v>
      </c>
      <c r="L141" s="233">
        <v>11942998011</v>
      </c>
    </row>
    <row x14ac:dyDescent="0.25" r="142" customHeight="1" ht="18.75">
      <c r="A142" s="1"/>
      <c r="B142" s="1"/>
      <c r="C142" s="1"/>
      <c r="D142" s="1"/>
      <c r="E142" s="1"/>
      <c r="F142" s="3"/>
      <c r="G142" s="3"/>
      <c r="H142" s="226" t="s">
        <v>282</v>
      </c>
      <c r="I142" s="235">
        <v>11997474393</v>
      </c>
      <c r="J142" s="1"/>
      <c r="K142" s="232" t="s">
        <v>509</v>
      </c>
      <c r="L142" s="233">
        <v>11958528414</v>
      </c>
    </row>
    <row x14ac:dyDescent="0.25" r="143" customHeight="1" ht="18.75">
      <c r="A143" s="1"/>
      <c r="B143" s="1"/>
      <c r="C143" s="1"/>
      <c r="D143" s="1"/>
      <c r="E143" s="1"/>
      <c r="F143" s="3"/>
      <c r="G143" s="3"/>
      <c r="H143" s="230" t="s">
        <v>421</v>
      </c>
      <c r="I143" s="231">
        <v>11911036051</v>
      </c>
      <c r="J143" s="1"/>
      <c r="K143" s="232" t="s">
        <v>387</v>
      </c>
      <c r="L143" s="233">
        <v>11978520670</v>
      </c>
    </row>
    <row x14ac:dyDescent="0.25" r="144" customHeight="1" ht="18.75">
      <c r="A144" s="1"/>
      <c r="B144" s="1"/>
      <c r="C144" s="1"/>
      <c r="D144" s="1"/>
      <c r="E144" s="1"/>
      <c r="F144" s="3"/>
      <c r="G144" s="3"/>
      <c r="H144" s="226" t="s">
        <v>284</v>
      </c>
      <c r="I144" s="235">
        <v>11934895406</v>
      </c>
      <c r="J144" s="1"/>
      <c r="K144" s="232" t="s">
        <v>488</v>
      </c>
      <c r="L144" s="233">
        <v>11979647745</v>
      </c>
    </row>
    <row x14ac:dyDescent="0.25" r="145" customHeight="1" ht="18.75">
      <c r="A145" s="1"/>
      <c r="B145" s="1"/>
      <c r="C145" s="1"/>
      <c r="D145" s="1"/>
      <c r="E145" s="1"/>
      <c r="F145" s="3"/>
      <c r="G145" s="3"/>
      <c r="H145" s="226" t="s">
        <v>285</v>
      </c>
      <c r="I145" s="237" t="s">
        <v>653</v>
      </c>
      <c r="J145" s="1"/>
      <c r="K145" s="232" t="s">
        <v>455</v>
      </c>
      <c r="L145" s="233">
        <v>11952831796</v>
      </c>
    </row>
    <row x14ac:dyDescent="0.25" r="146" customHeight="1" ht="18.75">
      <c r="A146" s="1"/>
      <c r="B146" s="1"/>
      <c r="C146" s="1"/>
      <c r="D146" s="1"/>
      <c r="E146" s="1"/>
      <c r="F146" s="3"/>
      <c r="G146" s="3"/>
      <c r="H146" s="226" t="s">
        <v>398</v>
      </c>
      <c r="I146" s="235">
        <v>11934829318</v>
      </c>
      <c r="J146" s="1"/>
      <c r="K146" s="228" t="s">
        <v>425</v>
      </c>
      <c r="L146" s="229">
        <v>11915808149</v>
      </c>
    </row>
    <row x14ac:dyDescent="0.25" r="147" customHeight="1" ht="18.75">
      <c r="A147" s="1"/>
      <c r="B147" s="1"/>
      <c r="C147" s="1"/>
      <c r="D147" s="1"/>
      <c r="E147" s="1"/>
      <c r="F147" s="3"/>
      <c r="G147" s="3"/>
      <c r="H147" s="232" t="s">
        <v>398</v>
      </c>
      <c r="I147" s="233">
        <v>11978239989</v>
      </c>
      <c r="J147" s="1"/>
      <c r="K147" s="232" t="s">
        <v>479</v>
      </c>
      <c r="L147" s="40"/>
    </row>
    <row x14ac:dyDescent="0.25" r="148" customHeight="1" ht="18.75">
      <c r="A148" s="1"/>
      <c r="B148" s="1"/>
      <c r="C148" s="1"/>
      <c r="D148" s="1"/>
      <c r="E148" s="1"/>
      <c r="F148" s="3"/>
      <c r="G148" s="3"/>
      <c r="H148" s="226" t="s">
        <v>286</v>
      </c>
      <c r="I148" s="235">
        <v>11970316586</v>
      </c>
      <c r="J148" s="1"/>
      <c r="K148" s="232" t="s">
        <v>343</v>
      </c>
      <c r="L148" s="233">
        <v>11982076672</v>
      </c>
    </row>
    <row x14ac:dyDescent="0.25" r="149" customHeight="1" ht="18.75">
      <c r="A149" s="1"/>
      <c r="B149" s="1"/>
      <c r="C149" s="1"/>
      <c r="D149" s="1"/>
      <c r="E149" s="1"/>
      <c r="F149" s="3"/>
      <c r="G149" s="3"/>
      <c r="H149" s="226" t="s">
        <v>287</v>
      </c>
      <c r="I149" s="237" t="s">
        <v>654</v>
      </c>
      <c r="J149" s="1"/>
      <c r="K149" s="232" t="s">
        <v>79</v>
      </c>
      <c r="L149" s="233">
        <v>11961271147</v>
      </c>
    </row>
    <row x14ac:dyDescent="0.25" r="150" customHeight="1" ht="18.75">
      <c r="A150" s="1"/>
      <c r="B150" s="1"/>
      <c r="C150" s="1"/>
      <c r="D150" s="1"/>
      <c r="E150" s="1"/>
      <c r="F150" s="3"/>
      <c r="G150" s="3"/>
      <c r="H150" s="226" t="s">
        <v>655</v>
      </c>
      <c r="I150" s="227" t="s">
        <v>656</v>
      </c>
      <c r="J150" s="1"/>
      <c r="K150" s="232" t="s">
        <v>173</v>
      </c>
      <c r="L150" s="233">
        <v>24981125714</v>
      </c>
    </row>
    <row x14ac:dyDescent="0.25" r="151" customHeight="1" ht="18.75">
      <c r="A151" s="1"/>
      <c r="B151" s="1"/>
      <c r="C151" s="1"/>
      <c r="D151" s="1"/>
      <c r="E151" s="1"/>
      <c r="F151" s="3"/>
      <c r="G151" s="3"/>
      <c r="H151" s="226" t="s">
        <v>119</v>
      </c>
      <c r="I151" s="237" t="s">
        <v>657</v>
      </c>
      <c r="J151" s="1"/>
      <c r="K151" s="232" t="s">
        <v>129</v>
      </c>
      <c r="L151" s="233">
        <v>11994748434</v>
      </c>
    </row>
    <row x14ac:dyDescent="0.25" r="152" customHeight="1" ht="18.75">
      <c r="A152" s="1"/>
      <c r="B152" s="1"/>
      <c r="C152" s="1"/>
      <c r="D152" s="1"/>
      <c r="E152" s="1"/>
      <c r="F152" s="3"/>
      <c r="G152" s="3"/>
      <c r="H152" s="241" t="s">
        <v>170</v>
      </c>
      <c r="I152" s="237" t="s">
        <v>658</v>
      </c>
      <c r="J152" s="1"/>
      <c r="K152" s="232" t="s">
        <v>527</v>
      </c>
      <c r="L152" s="234" t="s">
        <v>528</v>
      </c>
    </row>
    <row x14ac:dyDescent="0.25" r="153" customHeight="1" ht="18.75">
      <c r="A153" s="1"/>
      <c r="B153" s="1"/>
      <c r="C153" s="1"/>
      <c r="D153" s="1"/>
      <c r="E153" s="1"/>
      <c r="F153" s="3"/>
      <c r="G153" s="3"/>
      <c r="H153" s="232" t="s">
        <v>158</v>
      </c>
      <c r="I153" s="234" t="s">
        <v>659</v>
      </c>
      <c r="J153" s="1"/>
      <c r="K153" s="228" t="s">
        <v>409</v>
      </c>
      <c r="L153" s="229"/>
    </row>
    <row x14ac:dyDescent="0.25" r="154" customHeight="1" ht="18.75">
      <c r="A154" s="1"/>
      <c r="B154" s="1"/>
      <c r="C154" s="1"/>
      <c r="D154" s="1"/>
      <c r="E154" s="1"/>
      <c r="F154" s="3"/>
      <c r="G154" s="3"/>
      <c r="H154" s="226" t="s">
        <v>293</v>
      </c>
      <c r="I154" s="237" t="s">
        <v>660</v>
      </c>
      <c r="J154" s="1"/>
      <c r="K154" s="232" t="s">
        <v>484</v>
      </c>
      <c r="L154" s="233">
        <v>11953072612</v>
      </c>
    </row>
    <row x14ac:dyDescent="0.25" r="155" customHeight="1" ht="18.75">
      <c r="A155" s="1"/>
      <c r="B155" s="1"/>
      <c r="C155" s="1"/>
      <c r="D155" s="1"/>
      <c r="E155" s="1"/>
      <c r="F155" s="3"/>
      <c r="G155" s="3"/>
      <c r="H155" s="226" t="s">
        <v>294</v>
      </c>
      <c r="I155" s="227" t="s">
        <v>661</v>
      </c>
      <c r="J155" s="1"/>
      <c r="K155" s="232" t="s">
        <v>142</v>
      </c>
      <c r="L155" s="233">
        <v>11974917662</v>
      </c>
    </row>
    <row x14ac:dyDescent="0.25" r="156" customHeight="1" ht="18.75">
      <c r="A156" s="1"/>
      <c r="B156" s="1"/>
      <c r="C156" s="1"/>
      <c r="D156" s="1"/>
      <c r="E156" s="1"/>
      <c r="F156" s="3"/>
      <c r="G156" s="3"/>
      <c r="H156" s="226" t="s">
        <v>77</v>
      </c>
      <c r="I156" s="237" t="s">
        <v>662</v>
      </c>
      <c r="J156" s="1"/>
      <c r="K156" s="232" t="s">
        <v>345</v>
      </c>
      <c r="L156" s="233">
        <v>11986264407</v>
      </c>
    </row>
    <row x14ac:dyDescent="0.25" r="157" customHeight="1" ht="18.75">
      <c r="A157" s="1"/>
      <c r="B157" s="1"/>
      <c r="C157" s="1"/>
      <c r="D157" s="1"/>
      <c r="E157" s="1"/>
      <c r="F157" s="3"/>
      <c r="G157" s="3"/>
      <c r="H157" s="226" t="s">
        <v>471</v>
      </c>
      <c r="I157" s="235">
        <v>11919941682</v>
      </c>
      <c r="J157" s="1"/>
      <c r="K157" s="232" t="s">
        <v>346</v>
      </c>
      <c r="L157" s="233">
        <v>11939297527</v>
      </c>
    </row>
    <row x14ac:dyDescent="0.25" r="158" customHeight="1" ht="18.75">
      <c r="A158" s="1"/>
      <c r="B158" s="1"/>
      <c r="C158" s="1"/>
      <c r="D158" s="1"/>
      <c r="E158" s="1"/>
      <c r="F158" s="3"/>
      <c r="G158" s="3"/>
      <c r="H158" s="226" t="s">
        <v>296</v>
      </c>
      <c r="I158" s="237" t="s">
        <v>663</v>
      </c>
      <c r="J158" s="1"/>
      <c r="K158" s="232" t="s">
        <v>506</v>
      </c>
      <c r="L158" s="233">
        <v>11950633877</v>
      </c>
    </row>
    <row x14ac:dyDescent="0.25" r="159" customHeight="1" ht="18.75">
      <c r="A159" s="1"/>
      <c r="B159" s="1"/>
      <c r="C159" s="1"/>
      <c r="D159" s="1"/>
      <c r="E159" s="1"/>
      <c r="F159" s="3"/>
      <c r="G159" s="3"/>
      <c r="H159" s="226" t="s">
        <v>297</v>
      </c>
      <c r="I159" s="227" t="s">
        <v>664</v>
      </c>
      <c r="J159" s="1"/>
      <c r="K159" s="232" t="s">
        <v>348</v>
      </c>
      <c r="L159" s="234" t="s">
        <v>514</v>
      </c>
    </row>
    <row x14ac:dyDescent="0.25" r="160" customHeight="1" ht="18.75">
      <c r="A160" s="1"/>
      <c r="B160" s="1"/>
      <c r="C160" s="1"/>
      <c r="D160" s="1"/>
      <c r="E160" s="1"/>
      <c r="F160" s="3"/>
      <c r="G160" s="3"/>
      <c r="H160" s="226" t="s">
        <v>298</v>
      </c>
      <c r="I160" s="237" t="s">
        <v>665</v>
      </c>
      <c r="J160" s="1"/>
      <c r="K160" s="232" t="s">
        <v>499</v>
      </c>
      <c r="L160" s="233">
        <v>11996629272</v>
      </c>
    </row>
    <row x14ac:dyDescent="0.25" r="161" customHeight="1" ht="18.75">
      <c r="A161" s="1"/>
      <c r="B161" s="1"/>
      <c r="C161" s="1"/>
      <c r="D161" s="1"/>
      <c r="E161" s="1"/>
      <c r="F161" s="3"/>
      <c r="G161" s="3"/>
      <c r="H161" s="226" t="s">
        <v>381</v>
      </c>
      <c r="I161" s="237" t="s">
        <v>666</v>
      </c>
      <c r="J161" s="1"/>
      <c r="K161" s="232" t="s">
        <v>498</v>
      </c>
      <c r="L161" s="233">
        <v>11951295931</v>
      </c>
    </row>
    <row x14ac:dyDescent="0.25" r="162" customHeight="1" ht="18.75">
      <c r="A162" s="1"/>
      <c r="B162" s="1"/>
      <c r="C162" s="1"/>
      <c r="D162" s="1"/>
      <c r="E162" s="1"/>
      <c r="F162" s="3"/>
      <c r="G162" s="3"/>
      <c r="H162" s="226" t="s">
        <v>300</v>
      </c>
      <c r="I162" s="237" t="s">
        <v>667</v>
      </c>
      <c r="J162" s="1"/>
      <c r="K162" s="232" t="s">
        <v>438</v>
      </c>
      <c r="L162" s="233">
        <v>11940522469</v>
      </c>
    </row>
    <row x14ac:dyDescent="0.25" r="163" customHeight="1" ht="18.75">
      <c r="A163" s="1"/>
      <c r="B163" s="1"/>
      <c r="C163" s="1"/>
      <c r="D163" s="1"/>
      <c r="E163" s="1"/>
      <c r="F163" s="3"/>
      <c r="G163" s="3"/>
      <c r="H163" s="226" t="s">
        <v>302</v>
      </c>
      <c r="I163" s="237" t="s">
        <v>668</v>
      </c>
      <c r="J163" s="1"/>
      <c r="K163" s="232" t="s">
        <v>355</v>
      </c>
      <c r="L163" s="233">
        <v>11977790257</v>
      </c>
    </row>
    <row x14ac:dyDescent="0.25" r="164" customHeight="1" ht="18.75">
      <c r="A164" s="1"/>
      <c r="B164" s="1"/>
      <c r="C164" s="1"/>
      <c r="D164" s="1"/>
      <c r="E164" s="1"/>
      <c r="F164" s="3"/>
      <c r="G164" s="3"/>
      <c r="H164" s="230" t="s">
        <v>301</v>
      </c>
      <c r="I164" s="237" t="s">
        <v>669</v>
      </c>
      <c r="J164" s="1"/>
      <c r="K164" s="232" t="s">
        <v>356</v>
      </c>
      <c r="L164" s="233">
        <v>11966056200</v>
      </c>
    </row>
    <row x14ac:dyDescent="0.25" r="165" customHeight="1" ht="18.75">
      <c r="A165" s="1"/>
      <c r="B165" s="1"/>
      <c r="C165" s="1"/>
      <c r="D165" s="1"/>
      <c r="E165" s="1"/>
      <c r="F165" s="3"/>
      <c r="G165" s="3"/>
      <c r="H165" s="226" t="s">
        <v>304</v>
      </c>
      <c r="I165" s="237" t="s">
        <v>670</v>
      </c>
      <c r="J165" s="1"/>
      <c r="K165" s="232" t="s">
        <v>521</v>
      </c>
      <c r="L165" s="233"/>
    </row>
    <row x14ac:dyDescent="0.25" r="166" customHeight="1" ht="18.75">
      <c r="A166" s="1"/>
      <c r="B166" s="1"/>
      <c r="C166" s="1"/>
      <c r="D166" s="1"/>
      <c r="E166" s="1"/>
      <c r="F166" s="3"/>
      <c r="G166" s="3"/>
      <c r="H166" s="226" t="s">
        <v>96</v>
      </c>
      <c r="I166" s="235">
        <v>11971614549</v>
      </c>
      <c r="J166" s="1"/>
      <c r="K166" s="232" t="s">
        <v>97</v>
      </c>
      <c r="L166" s="233">
        <v>11953207077</v>
      </c>
    </row>
    <row x14ac:dyDescent="0.25" r="167" customHeight="1" ht="18.75">
      <c r="A167" s="1"/>
      <c r="B167" s="1"/>
      <c r="C167" s="1"/>
      <c r="D167" s="1"/>
      <c r="E167" s="1"/>
      <c r="F167" s="3"/>
      <c r="G167" s="3"/>
      <c r="H167" s="226" t="s">
        <v>305</v>
      </c>
      <c r="I167" s="227" t="s">
        <v>671</v>
      </c>
      <c r="J167" s="1"/>
      <c r="K167" s="228" t="s">
        <v>429</v>
      </c>
      <c r="L167" s="229">
        <v>11994807873</v>
      </c>
    </row>
    <row x14ac:dyDescent="0.25" r="168" customHeight="1" ht="18.75">
      <c r="A168" s="1"/>
      <c r="B168" s="1"/>
      <c r="C168" s="1"/>
      <c r="D168" s="1"/>
      <c r="E168" s="1"/>
      <c r="F168" s="3"/>
      <c r="G168" s="3"/>
      <c r="H168" s="226" t="s">
        <v>306</v>
      </c>
      <c r="I168" s="237" t="s">
        <v>672</v>
      </c>
      <c r="J168" s="1"/>
      <c r="K168" s="232" t="s">
        <v>357</v>
      </c>
      <c r="L168" s="233">
        <v>11977760176</v>
      </c>
    </row>
    <row x14ac:dyDescent="0.25" r="169" customHeight="1" ht="18.75">
      <c r="A169" s="1"/>
      <c r="B169" s="1"/>
      <c r="C169" s="1"/>
      <c r="D169" s="1"/>
      <c r="E169" s="1"/>
      <c r="F169" s="3"/>
      <c r="G169" s="3"/>
      <c r="H169" s="226" t="s">
        <v>307</v>
      </c>
      <c r="I169" s="237" t="s">
        <v>673</v>
      </c>
      <c r="J169" s="1"/>
      <c r="K169" s="232" t="s">
        <v>358</v>
      </c>
      <c r="L169" s="233">
        <v>11950239369</v>
      </c>
    </row>
    <row x14ac:dyDescent="0.25" r="170" customHeight="1" ht="18.75">
      <c r="A170" s="1"/>
      <c r="B170" s="1"/>
      <c r="C170" s="1"/>
      <c r="D170" s="1"/>
      <c r="E170" s="1"/>
      <c r="F170" s="3"/>
      <c r="G170" s="3"/>
      <c r="H170" s="226" t="s">
        <v>308</v>
      </c>
      <c r="I170" s="227" t="s">
        <v>674</v>
      </c>
      <c r="J170" s="1"/>
      <c r="K170" s="232" t="s">
        <v>508</v>
      </c>
      <c r="L170" s="233">
        <v>11978108910</v>
      </c>
    </row>
    <row x14ac:dyDescent="0.25" r="171" customHeight="1" ht="18.75">
      <c r="A171" s="1"/>
      <c r="B171" s="1"/>
      <c r="C171" s="1"/>
      <c r="D171" s="1"/>
      <c r="E171" s="1"/>
      <c r="F171" s="3"/>
      <c r="G171" s="3"/>
      <c r="H171" s="226" t="s">
        <v>501</v>
      </c>
      <c r="I171" s="237" t="s">
        <v>675</v>
      </c>
      <c r="J171" s="1"/>
      <c r="K171" s="232" t="s">
        <v>359</v>
      </c>
      <c r="L171" s="233">
        <v>11958246382</v>
      </c>
    </row>
    <row x14ac:dyDescent="0.25" r="172" customHeight="1" ht="18.75">
      <c r="A172" s="1"/>
      <c r="B172" s="1"/>
      <c r="C172" s="1"/>
      <c r="D172" s="1"/>
      <c r="E172" s="1"/>
      <c r="F172" s="3"/>
      <c r="G172" s="3"/>
      <c r="H172" s="226" t="s">
        <v>309</v>
      </c>
      <c r="I172" s="237" t="s">
        <v>676</v>
      </c>
      <c r="J172" s="1"/>
      <c r="K172" s="232" t="s">
        <v>71</v>
      </c>
      <c r="L172" s="233">
        <v>11914183024</v>
      </c>
    </row>
    <row x14ac:dyDescent="0.25" r="173" customHeight="1" ht="18.75">
      <c r="A173" s="1"/>
      <c r="B173" s="1"/>
      <c r="C173" s="1"/>
      <c r="D173" s="1"/>
      <c r="E173" s="1"/>
      <c r="F173" s="3"/>
      <c r="G173" s="3"/>
      <c r="H173" s="238" t="s">
        <v>111</v>
      </c>
      <c r="I173" s="239">
        <v>11993129427</v>
      </c>
      <c r="J173" s="1"/>
      <c r="K173" s="232" t="s">
        <v>360</v>
      </c>
      <c r="L173" s="233">
        <v>11976769560</v>
      </c>
    </row>
    <row x14ac:dyDescent="0.25" r="174" customHeight="1" ht="18.75">
      <c r="A174" s="1"/>
      <c r="B174" s="1"/>
      <c r="C174" s="1"/>
      <c r="D174" s="1"/>
      <c r="E174" s="1"/>
      <c r="F174" s="3"/>
      <c r="G174" s="3"/>
      <c r="H174" s="226" t="s">
        <v>114</v>
      </c>
      <c r="I174" s="237" t="s">
        <v>677</v>
      </c>
      <c r="J174" s="1"/>
      <c r="K174" s="232" t="s">
        <v>361</v>
      </c>
      <c r="L174" s="233">
        <v>11916962475</v>
      </c>
    </row>
    <row x14ac:dyDescent="0.25" r="175" customHeight="1" ht="18.75">
      <c r="A175" s="1"/>
      <c r="B175" s="1"/>
      <c r="C175" s="1"/>
      <c r="D175" s="1"/>
      <c r="E175" s="1"/>
      <c r="F175" s="3"/>
      <c r="G175" s="3"/>
      <c r="H175" s="232" t="s">
        <v>85</v>
      </c>
      <c r="I175" s="234" t="s">
        <v>678</v>
      </c>
      <c r="J175" s="1"/>
      <c r="K175" s="232" t="s">
        <v>530</v>
      </c>
      <c r="L175" s="233"/>
    </row>
    <row x14ac:dyDescent="0.25" r="176" customHeight="1" ht="18.75">
      <c r="A176" s="1"/>
      <c r="B176" s="1"/>
      <c r="C176" s="1"/>
      <c r="D176" s="1"/>
      <c r="E176" s="1"/>
      <c r="F176" s="3"/>
      <c r="G176" s="3"/>
      <c r="H176" s="232" t="s">
        <v>311</v>
      </c>
      <c r="I176" s="234" t="s">
        <v>603</v>
      </c>
      <c r="J176" s="1"/>
      <c r="K176" s="232" t="s">
        <v>80</v>
      </c>
      <c r="L176" s="233">
        <v>11945347604</v>
      </c>
    </row>
    <row x14ac:dyDescent="0.25" r="177" customHeight="1" ht="18.75">
      <c r="A177" s="1"/>
      <c r="B177" s="1"/>
      <c r="C177" s="1"/>
      <c r="D177" s="1"/>
      <c r="E177" s="1"/>
      <c r="F177" s="3"/>
      <c r="G177" s="3"/>
      <c r="H177" s="230" t="s">
        <v>312</v>
      </c>
      <c r="I177" s="231">
        <v>11957241015</v>
      </c>
      <c r="J177" s="1"/>
      <c r="K177" s="232" t="s">
        <v>394</v>
      </c>
      <c r="L177" s="229">
        <v>11994428946</v>
      </c>
    </row>
    <row x14ac:dyDescent="0.25" r="178" customHeight="1" ht="18.75">
      <c r="A178" s="1"/>
      <c r="B178" s="1"/>
      <c r="C178" s="1"/>
      <c r="D178" s="1"/>
      <c r="E178" s="1"/>
      <c r="F178" s="3"/>
      <c r="G178" s="3"/>
      <c r="H178" s="226" t="s">
        <v>533</v>
      </c>
      <c r="I178" s="235">
        <v>11950611303</v>
      </c>
      <c r="J178" s="1"/>
      <c r="K178" s="232" t="s">
        <v>364</v>
      </c>
      <c r="L178" s="233">
        <v>11956495142</v>
      </c>
    </row>
    <row x14ac:dyDescent="0.25" r="179" customHeight="1" ht="18.75">
      <c r="A179" s="1"/>
      <c r="B179" s="1"/>
      <c r="C179" s="1"/>
      <c r="D179" s="1"/>
      <c r="E179" s="1"/>
      <c r="F179" s="3"/>
      <c r="G179" s="3"/>
      <c r="H179" s="226" t="s">
        <v>449</v>
      </c>
      <c r="I179" s="235">
        <v>11952223528</v>
      </c>
      <c r="J179" s="1"/>
      <c r="K179" s="232" t="s">
        <v>396</v>
      </c>
      <c r="L179" s="229">
        <v>11961245501</v>
      </c>
    </row>
    <row x14ac:dyDescent="0.25" r="180" customHeight="1" ht="18.75">
      <c r="A180" s="1"/>
      <c r="B180" s="1"/>
      <c r="C180" s="1"/>
      <c r="D180" s="1"/>
      <c r="E180" s="1"/>
      <c r="F180" s="3"/>
      <c r="G180" s="3"/>
      <c r="H180" s="226" t="s">
        <v>313</v>
      </c>
      <c r="I180" s="235">
        <v>11963376073</v>
      </c>
      <c r="J180" s="1"/>
      <c r="K180" s="232" t="s">
        <v>395</v>
      </c>
      <c r="L180" s="233">
        <v>11981536575</v>
      </c>
    </row>
    <row x14ac:dyDescent="0.25" r="181" customHeight="1" ht="18.75">
      <c r="A181" s="1"/>
      <c r="B181" s="1"/>
      <c r="C181" s="1"/>
      <c r="D181" s="1"/>
      <c r="E181" s="1"/>
      <c r="F181" s="3"/>
      <c r="G181" s="3"/>
      <c r="H181" s="183" t="s">
        <v>314</v>
      </c>
      <c r="I181" s="242" t="s">
        <v>679</v>
      </c>
      <c r="J181" s="1"/>
      <c r="K181" s="232" t="s">
        <v>444</v>
      </c>
      <c r="L181" s="233">
        <v>11917316267</v>
      </c>
    </row>
    <row x14ac:dyDescent="0.25" r="182" customHeight="1" ht="18.75">
      <c r="A182" s="1"/>
      <c r="B182" s="1"/>
      <c r="C182" s="1"/>
      <c r="D182" s="1"/>
      <c r="E182" s="1"/>
      <c r="F182" s="3"/>
      <c r="G182" s="3"/>
      <c r="H182" s="230" t="s">
        <v>419</v>
      </c>
      <c r="I182" s="231">
        <v>11957134404</v>
      </c>
      <c r="J182" s="1"/>
      <c r="K182" s="232" t="s">
        <v>366</v>
      </c>
      <c r="L182" s="233">
        <v>11913545093</v>
      </c>
    </row>
    <row x14ac:dyDescent="0.25" r="183" customHeight="1" ht="18.75">
      <c r="A183" s="1"/>
      <c r="B183" s="1"/>
      <c r="C183" s="1"/>
      <c r="D183" s="1"/>
      <c r="E183" s="1"/>
      <c r="F183" s="3"/>
      <c r="G183" s="3"/>
      <c r="H183" s="226" t="s">
        <v>121</v>
      </c>
      <c r="I183" s="237" t="s">
        <v>680</v>
      </c>
      <c r="J183" s="1"/>
      <c r="K183" s="232" t="s">
        <v>442</v>
      </c>
      <c r="L183" s="233">
        <v>11943267785</v>
      </c>
    </row>
    <row x14ac:dyDescent="0.25" r="184" customHeight="1" ht="18.75">
      <c r="A184" s="1"/>
      <c r="B184" s="1"/>
      <c r="C184" s="1"/>
      <c r="D184" s="1"/>
      <c r="E184" s="1"/>
      <c r="F184" s="3"/>
      <c r="G184" s="3"/>
      <c r="H184" s="226" t="s">
        <v>88</v>
      </c>
      <c r="I184" s="237" t="s">
        <v>681</v>
      </c>
      <c r="J184" s="1"/>
      <c r="K184" s="228" t="s">
        <v>400</v>
      </c>
      <c r="L184" s="229">
        <v>11943267785</v>
      </c>
    </row>
    <row x14ac:dyDescent="0.25" r="185" customHeight="1" ht="18.75">
      <c r="A185" s="1"/>
      <c r="B185" s="1"/>
      <c r="C185" s="1"/>
      <c r="D185" s="1"/>
      <c r="E185" s="1"/>
      <c r="F185" s="3"/>
      <c r="G185" s="3"/>
      <c r="H185" s="226" t="s">
        <v>316</v>
      </c>
      <c r="I185" s="237" t="s">
        <v>682</v>
      </c>
      <c r="J185" s="1"/>
      <c r="K185" s="232" t="s">
        <v>483</v>
      </c>
      <c r="L185" s="233">
        <v>11964277405</v>
      </c>
    </row>
    <row x14ac:dyDescent="0.25" r="186" customHeight="1" ht="18.75">
      <c r="A186" s="1"/>
      <c r="B186" s="1"/>
      <c r="C186" s="1"/>
      <c r="D186" s="1"/>
      <c r="E186" s="1"/>
      <c r="F186" s="3"/>
      <c r="G186" s="3"/>
      <c r="H186" s="226" t="s">
        <v>317</v>
      </c>
      <c r="I186" s="237" t="s">
        <v>683</v>
      </c>
      <c r="J186" s="1"/>
      <c r="K186" s="232" t="s">
        <v>515</v>
      </c>
      <c r="L186" s="234" t="s">
        <v>516</v>
      </c>
    </row>
    <row x14ac:dyDescent="0.25" r="187" customHeight="1" ht="18.75">
      <c r="A187" s="1"/>
      <c r="B187" s="1"/>
      <c r="C187" s="1"/>
      <c r="D187" s="1"/>
      <c r="E187" s="1"/>
      <c r="F187" s="3"/>
      <c r="G187" s="3"/>
      <c r="H187" s="232" t="s">
        <v>318</v>
      </c>
      <c r="I187" s="234" t="s">
        <v>684</v>
      </c>
      <c r="J187" s="1"/>
      <c r="K187" s="228" t="s">
        <v>408</v>
      </c>
      <c r="L187" s="229">
        <v>11999338986</v>
      </c>
    </row>
    <row x14ac:dyDescent="0.25" r="188" customHeight="1" ht="18.75">
      <c r="A188" s="1"/>
      <c r="B188" s="1"/>
      <c r="C188" s="1"/>
      <c r="D188" s="1"/>
      <c r="E188" s="1"/>
      <c r="F188" s="3"/>
      <c r="G188" s="3"/>
      <c r="H188" s="228" t="s">
        <v>412</v>
      </c>
      <c r="I188" s="240" t="s">
        <v>603</v>
      </c>
      <c r="J188" s="1"/>
      <c r="K188" s="232" t="s">
        <v>383</v>
      </c>
      <c r="L188" s="233">
        <v>11997856707</v>
      </c>
    </row>
    <row x14ac:dyDescent="0.25" r="189" customHeight="1" ht="18.75">
      <c r="A189" s="1"/>
      <c r="B189" s="1"/>
      <c r="C189" s="1"/>
      <c r="D189" s="1"/>
      <c r="E189" s="1"/>
      <c r="F189" s="3"/>
      <c r="G189" s="3"/>
      <c r="H189" s="226" t="s">
        <v>519</v>
      </c>
      <c r="I189" s="237" t="s">
        <v>520</v>
      </c>
      <c r="J189" s="1"/>
      <c r="K189" s="228" t="s">
        <v>368</v>
      </c>
      <c r="L189" s="229">
        <v>11934345107</v>
      </c>
    </row>
    <row x14ac:dyDescent="0.25" r="190" customHeight="1" ht="18.75">
      <c r="A190" s="1"/>
      <c r="B190" s="1"/>
      <c r="C190" s="1"/>
      <c r="D190" s="1"/>
      <c r="E190" s="1"/>
      <c r="F190" s="3"/>
      <c r="G190" s="3"/>
      <c r="H190" s="226" t="s">
        <v>405</v>
      </c>
      <c r="I190" s="235">
        <v>11943613294</v>
      </c>
      <c r="J190" s="1"/>
      <c r="K190" s="232" t="s">
        <v>500</v>
      </c>
      <c r="L190" s="233">
        <v>11948781222</v>
      </c>
    </row>
    <row x14ac:dyDescent="0.25" r="191" customHeight="1" ht="18.75">
      <c r="A191" s="1"/>
      <c r="B191" s="1"/>
      <c r="C191" s="1"/>
      <c r="D191" s="1"/>
      <c r="E191" s="1"/>
      <c r="F191" s="3"/>
      <c r="G191" s="3"/>
      <c r="H191" s="226" t="s">
        <v>378</v>
      </c>
      <c r="I191" s="235">
        <v>11968302654</v>
      </c>
      <c r="J191" s="1"/>
      <c r="K191" s="232" t="s">
        <v>369</v>
      </c>
      <c r="L191" s="233">
        <v>11987676186</v>
      </c>
    </row>
    <row x14ac:dyDescent="0.25" r="192" customHeight="1" ht="18.75">
      <c r="A192" s="1"/>
      <c r="B192" s="1"/>
      <c r="C192" s="1"/>
      <c r="D192" s="1"/>
      <c r="E192" s="1"/>
      <c r="F192" s="3"/>
      <c r="G192" s="3"/>
      <c r="H192" s="226" t="s">
        <v>321</v>
      </c>
      <c r="I192" s="235">
        <v>11968281220</v>
      </c>
      <c r="J192" s="1"/>
      <c r="K192" s="232" t="s">
        <v>451</v>
      </c>
      <c r="L192" s="233">
        <v>11932614609</v>
      </c>
    </row>
    <row x14ac:dyDescent="0.25" r="193" customHeight="1" ht="18.75">
      <c r="A193" s="1"/>
      <c r="B193" s="1"/>
      <c r="C193" s="1"/>
      <c r="D193" s="1"/>
      <c r="E193" s="1"/>
      <c r="F193" s="3"/>
      <c r="G193" s="3"/>
      <c r="H193" s="226" t="s">
        <v>462</v>
      </c>
      <c r="I193" s="235">
        <v>11939417996</v>
      </c>
      <c r="J193" s="1"/>
      <c r="K193" s="232" t="s">
        <v>371</v>
      </c>
      <c r="L193" s="233">
        <v>11951621162</v>
      </c>
    </row>
    <row x14ac:dyDescent="0.25" r="194" customHeight="1" ht="18.75">
      <c r="A194" s="1"/>
      <c r="B194" s="1"/>
      <c r="C194" s="1"/>
      <c r="D194" s="1"/>
      <c r="E194" s="1"/>
      <c r="F194" s="3"/>
      <c r="G194" s="3"/>
      <c r="H194" s="226" t="s">
        <v>463</v>
      </c>
      <c r="I194" s="235">
        <v>11911771198</v>
      </c>
      <c r="J194" s="1"/>
      <c r="K194" s="232" t="s">
        <v>392</v>
      </c>
      <c r="L194" s="229">
        <v>11911193002</v>
      </c>
    </row>
    <row x14ac:dyDescent="0.25" r="195" customHeight="1" ht="18.75">
      <c r="A195" s="1"/>
      <c r="B195" s="1"/>
      <c r="C195" s="1"/>
      <c r="D195" s="1"/>
      <c r="E195" s="1"/>
      <c r="F195" s="3"/>
      <c r="G195" s="3"/>
      <c r="H195" s="226" t="s">
        <v>391</v>
      </c>
      <c r="I195" s="235">
        <v>11995677180</v>
      </c>
      <c r="J195" s="1"/>
      <c r="K195" s="232" t="s">
        <v>372</v>
      </c>
      <c r="L195" s="233">
        <v>11982875365</v>
      </c>
    </row>
    <row x14ac:dyDescent="0.25" r="196" customHeight="1" ht="18.75">
      <c r="A196" s="1"/>
      <c r="B196" s="1"/>
      <c r="C196" s="1"/>
      <c r="D196" s="1"/>
      <c r="E196" s="1"/>
      <c r="F196" s="3"/>
      <c r="G196" s="3"/>
      <c r="H196" s="230" t="s">
        <v>322</v>
      </c>
      <c r="I196" s="231">
        <v>11956559415</v>
      </c>
      <c r="J196" s="1"/>
      <c r="K196" s="232" t="s">
        <v>452</v>
      </c>
      <c r="L196" s="233">
        <v>11971688980</v>
      </c>
    </row>
    <row x14ac:dyDescent="0.25" r="197" customHeight="1" ht="18.75">
      <c r="A197" s="1"/>
      <c r="B197" s="1"/>
      <c r="C197" s="1"/>
      <c r="D197" s="1"/>
      <c r="E197" s="1"/>
      <c r="F197" s="3"/>
      <c r="G197" s="3"/>
      <c r="H197" s="230" t="s">
        <v>323</v>
      </c>
      <c r="I197" s="235">
        <v>11959369758</v>
      </c>
      <c r="J197" s="1"/>
      <c r="K197" s="1"/>
      <c r="L197" s="40"/>
    </row>
    <row x14ac:dyDescent="0.25" r="198" customHeight="1" ht="18.75">
      <c r="A198" s="1"/>
      <c r="B198" s="1"/>
      <c r="C198" s="1"/>
      <c r="D198" s="1"/>
      <c r="E198" s="1"/>
      <c r="F198" s="3"/>
      <c r="G198" s="3"/>
      <c r="H198" s="226" t="s">
        <v>324</v>
      </c>
      <c r="I198" s="235">
        <v>11972383586</v>
      </c>
      <c r="J198" s="1"/>
      <c r="K198" s="1"/>
      <c r="L198" s="40"/>
    </row>
    <row x14ac:dyDescent="0.25" r="199" customHeight="1" ht="18.75">
      <c r="A199" s="1"/>
      <c r="B199" s="1"/>
      <c r="C199" s="1"/>
      <c r="D199" s="1"/>
      <c r="E199" s="1"/>
      <c r="F199" s="3"/>
      <c r="G199" s="3"/>
      <c r="H199" s="226" t="s">
        <v>325</v>
      </c>
      <c r="I199" s="237" t="s">
        <v>685</v>
      </c>
      <c r="J199" s="1"/>
      <c r="K199" s="1"/>
      <c r="L199" s="40"/>
    </row>
    <row x14ac:dyDescent="0.25" r="200" customHeight="1" ht="18.75">
      <c r="A200" s="1"/>
      <c r="B200" s="1"/>
      <c r="C200" s="1"/>
      <c r="D200" s="1"/>
      <c r="E200" s="1"/>
      <c r="F200" s="3"/>
      <c r="G200" s="3"/>
      <c r="H200" s="226" t="s">
        <v>327</v>
      </c>
      <c r="I200" s="237" t="s">
        <v>686</v>
      </c>
      <c r="J200" s="1"/>
      <c r="K200" s="1"/>
      <c r="L200" s="40"/>
    </row>
    <row x14ac:dyDescent="0.25" r="201" customHeight="1" ht="18.75">
      <c r="A201" s="1"/>
      <c r="B201" s="1"/>
      <c r="C201" s="1"/>
      <c r="D201" s="1"/>
      <c r="E201" s="1"/>
      <c r="F201" s="3"/>
      <c r="G201" s="3"/>
      <c r="H201" s="230" t="s">
        <v>411</v>
      </c>
      <c r="I201" s="237" t="s">
        <v>687</v>
      </c>
      <c r="J201" s="1"/>
      <c r="K201" s="1"/>
      <c r="L201" s="40"/>
    </row>
    <row x14ac:dyDescent="0.25" r="202" customHeight="1" ht="18.75">
      <c r="A202" s="1"/>
      <c r="B202" s="1"/>
      <c r="C202" s="1"/>
      <c r="D202" s="1"/>
      <c r="E202" s="1"/>
      <c r="F202" s="3"/>
      <c r="G202" s="3"/>
      <c r="H202" s="230" t="s">
        <v>329</v>
      </c>
      <c r="I202" s="235">
        <v>11996629272</v>
      </c>
      <c r="J202" s="1"/>
      <c r="K202" s="1"/>
      <c r="L202" s="40"/>
    </row>
    <row x14ac:dyDescent="0.25" r="203" customHeight="1" ht="18.75">
      <c r="A203" s="1"/>
      <c r="B203" s="1"/>
      <c r="C203" s="1"/>
      <c r="D203" s="1"/>
      <c r="E203" s="1"/>
      <c r="F203" s="3"/>
      <c r="G203" s="3"/>
      <c r="H203" s="241" t="s">
        <v>330</v>
      </c>
      <c r="I203" s="237" t="s">
        <v>688</v>
      </c>
      <c r="J203" s="1"/>
      <c r="K203" s="1"/>
      <c r="L203" s="40"/>
    </row>
    <row x14ac:dyDescent="0.25" r="204" customHeight="1" ht="18.75">
      <c r="A204" s="1"/>
      <c r="B204" s="1"/>
      <c r="C204" s="1"/>
      <c r="D204" s="1"/>
      <c r="E204" s="1"/>
      <c r="F204" s="3"/>
      <c r="G204" s="3"/>
      <c r="H204" s="226" t="s">
        <v>331</v>
      </c>
      <c r="I204" s="237" t="s">
        <v>689</v>
      </c>
      <c r="J204" s="1"/>
      <c r="K204" s="1"/>
      <c r="L204" s="40"/>
    </row>
    <row x14ac:dyDescent="0.25" r="205" customHeight="1" ht="18.75">
      <c r="A205" s="1"/>
      <c r="B205" s="1"/>
      <c r="C205" s="1"/>
      <c r="D205" s="1"/>
      <c r="E205" s="1"/>
      <c r="F205" s="3"/>
      <c r="G205" s="3"/>
      <c r="H205" s="226" t="s">
        <v>137</v>
      </c>
      <c r="I205" s="235">
        <v>11958078086</v>
      </c>
      <c r="J205" s="1"/>
      <c r="K205" s="1"/>
      <c r="L205" s="40"/>
    </row>
    <row x14ac:dyDescent="0.25" r="206" customHeight="1" ht="18.75">
      <c r="A206" s="1"/>
      <c r="B206" s="1"/>
      <c r="C206" s="1"/>
      <c r="D206" s="1"/>
      <c r="E206" s="1"/>
      <c r="F206" s="3"/>
      <c r="G206" s="3"/>
      <c r="H206" s="226" t="s">
        <v>332</v>
      </c>
      <c r="I206" s="237" t="s">
        <v>690</v>
      </c>
      <c r="J206" s="1"/>
      <c r="K206" s="1"/>
      <c r="L206" s="40"/>
    </row>
    <row x14ac:dyDescent="0.25" r="207" customHeight="1" ht="18.75">
      <c r="A207" s="1"/>
      <c r="B207" s="1"/>
      <c r="C207" s="1"/>
      <c r="D207" s="1"/>
      <c r="E207" s="1"/>
      <c r="F207" s="3"/>
      <c r="G207" s="3"/>
      <c r="H207" s="226" t="s">
        <v>453</v>
      </c>
      <c r="I207" s="237" t="s">
        <v>691</v>
      </c>
      <c r="J207" s="1"/>
      <c r="K207" s="1"/>
      <c r="L207" s="40"/>
    </row>
    <row x14ac:dyDescent="0.25" r="208" customHeight="1" ht="18.75">
      <c r="A208" s="1"/>
      <c r="B208" s="1"/>
      <c r="C208" s="1"/>
      <c r="D208" s="1"/>
      <c r="E208" s="1"/>
      <c r="F208" s="3"/>
      <c r="G208" s="3"/>
      <c r="H208" s="226" t="s">
        <v>83</v>
      </c>
      <c r="I208" s="237" t="s">
        <v>692</v>
      </c>
      <c r="J208" s="1"/>
      <c r="K208" s="1"/>
      <c r="L208" s="40"/>
    </row>
    <row x14ac:dyDescent="0.25" r="209" customHeight="1" ht="18.75">
      <c r="A209" s="1"/>
      <c r="B209" s="1"/>
      <c r="C209" s="1"/>
      <c r="D209" s="1"/>
      <c r="E209" s="1"/>
      <c r="F209" s="3"/>
      <c r="G209" s="3"/>
      <c r="H209" s="241" t="s">
        <v>334</v>
      </c>
      <c r="I209" s="237" t="s">
        <v>693</v>
      </c>
      <c r="J209" s="1"/>
      <c r="K209" s="1"/>
      <c r="L209" s="40"/>
    </row>
    <row x14ac:dyDescent="0.25" r="210" customHeight="1" ht="18.75">
      <c r="A210" s="1"/>
      <c r="B210" s="1"/>
      <c r="C210" s="1"/>
      <c r="D210" s="1"/>
      <c r="E210" s="1"/>
      <c r="F210" s="3"/>
      <c r="G210" s="3"/>
      <c r="H210" s="226" t="s">
        <v>82</v>
      </c>
      <c r="I210" s="237" t="s">
        <v>694</v>
      </c>
      <c r="J210" s="1"/>
      <c r="K210" s="1"/>
      <c r="L210" s="40"/>
    </row>
    <row x14ac:dyDescent="0.25" r="211" customHeight="1" ht="18.75">
      <c r="A211" s="1"/>
      <c r="B211" s="1"/>
      <c r="C211" s="1"/>
      <c r="D211" s="1"/>
      <c r="E211" s="1"/>
      <c r="F211" s="3"/>
      <c r="G211" s="3"/>
      <c r="H211" s="226" t="s">
        <v>477</v>
      </c>
      <c r="I211" s="237" t="s">
        <v>695</v>
      </c>
      <c r="J211" s="1"/>
      <c r="K211" s="1"/>
      <c r="L211" s="40"/>
    </row>
    <row x14ac:dyDescent="0.25" r="212" customHeight="1" ht="18.75">
      <c r="A212" s="1"/>
      <c r="B212" s="1"/>
      <c r="C212" s="1"/>
      <c r="D212" s="1"/>
      <c r="E212" s="1"/>
      <c r="F212" s="3"/>
      <c r="G212" s="3"/>
      <c r="H212" s="226" t="s">
        <v>435</v>
      </c>
      <c r="I212" s="237" t="s">
        <v>696</v>
      </c>
      <c r="J212" s="1"/>
      <c r="K212" s="1"/>
      <c r="L212" s="40"/>
    </row>
    <row x14ac:dyDescent="0.25" r="213" customHeight="1" ht="18.75">
      <c r="A213" s="1"/>
      <c r="B213" s="1"/>
      <c r="C213" s="1"/>
      <c r="D213" s="1"/>
      <c r="E213" s="1"/>
      <c r="F213" s="3"/>
      <c r="G213" s="3"/>
      <c r="H213" s="226" t="s">
        <v>509</v>
      </c>
      <c r="I213" s="235">
        <v>11958528414</v>
      </c>
      <c r="J213" s="1"/>
      <c r="K213" s="1"/>
      <c r="L213" s="40"/>
    </row>
    <row x14ac:dyDescent="0.25" r="214" customHeight="1" ht="18.75">
      <c r="A214" s="1"/>
      <c r="B214" s="1"/>
      <c r="C214" s="1"/>
      <c r="D214" s="1"/>
      <c r="E214" s="1"/>
      <c r="F214" s="3"/>
      <c r="G214" s="3"/>
      <c r="H214" s="226" t="s">
        <v>387</v>
      </c>
      <c r="I214" s="235">
        <v>11978520670</v>
      </c>
      <c r="J214" s="1"/>
      <c r="K214" s="1"/>
      <c r="L214" s="40"/>
    </row>
    <row x14ac:dyDescent="0.25" r="215" customHeight="1" ht="18.75">
      <c r="A215" s="1"/>
      <c r="B215" s="1"/>
      <c r="C215" s="1"/>
      <c r="D215" s="1"/>
      <c r="E215" s="1"/>
      <c r="F215" s="3"/>
      <c r="G215" s="3"/>
      <c r="H215" s="232" t="s">
        <v>126</v>
      </c>
      <c r="I215" s="234" t="s">
        <v>641</v>
      </c>
      <c r="J215" s="1"/>
      <c r="K215" s="1"/>
      <c r="L215" s="40"/>
    </row>
    <row x14ac:dyDescent="0.25" r="216" customHeight="1" ht="18.75">
      <c r="A216" s="1"/>
      <c r="B216" s="1"/>
      <c r="C216" s="1"/>
      <c r="D216" s="1"/>
      <c r="E216" s="1"/>
      <c r="F216" s="3"/>
      <c r="G216" s="3"/>
      <c r="H216" s="226" t="s">
        <v>488</v>
      </c>
      <c r="I216" s="235">
        <v>11979647745</v>
      </c>
      <c r="J216" s="1"/>
      <c r="K216" s="1"/>
      <c r="L216" s="40"/>
    </row>
    <row x14ac:dyDescent="0.25" r="217" customHeight="1" ht="18.75">
      <c r="A217" s="1"/>
      <c r="B217" s="1"/>
      <c r="C217" s="1"/>
      <c r="D217" s="1"/>
      <c r="E217" s="1"/>
      <c r="F217" s="3"/>
      <c r="G217" s="3"/>
      <c r="H217" s="226" t="s">
        <v>339</v>
      </c>
      <c r="I217" s="235">
        <v>11952831796</v>
      </c>
      <c r="J217" s="1"/>
      <c r="K217" s="1"/>
      <c r="L217" s="40"/>
    </row>
    <row x14ac:dyDescent="0.25" r="218" customHeight="1" ht="18.75">
      <c r="A218" s="1"/>
      <c r="B218" s="1"/>
      <c r="C218" s="1"/>
      <c r="D218" s="1"/>
      <c r="E218" s="1"/>
      <c r="F218" s="3"/>
      <c r="G218" s="3"/>
      <c r="H218" s="226" t="s">
        <v>336</v>
      </c>
      <c r="I218" s="227" t="s">
        <v>697</v>
      </c>
      <c r="J218" s="1"/>
      <c r="K218" s="1"/>
      <c r="L218" s="40"/>
    </row>
    <row x14ac:dyDescent="0.25" r="219" customHeight="1" ht="18.75">
      <c r="A219" s="1"/>
      <c r="B219" s="1"/>
      <c r="C219" s="1"/>
      <c r="D219" s="1"/>
      <c r="E219" s="1"/>
      <c r="F219" s="3"/>
      <c r="G219" s="3"/>
      <c r="H219" s="230" t="s">
        <v>340</v>
      </c>
      <c r="I219" s="227" t="s">
        <v>698</v>
      </c>
      <c r="J219" s="1"/>
      <c r="K219" s="1"/>
      <c r="L219" s="40"/>
    </row>
    <row x14ac:dyDescent="0.25" r="220" customHeight="1" ht="18.75">
      <c r="A220" s="1"/>
      <c r="B220" s="1"/>
      <c r="C220" s="1"/>
      <c r="D220" s="1"/>
      <c r="E220" s="1"/>
      <c r="F220" s="3"/>
      <c r="G220" s="3"/>
      <c r="H220" s="226" t="s">
        <v>341</v>
      </c>
      <c r="I220" s="237" t="s">
        <v>699</v>
      </c>
      <c r="J220" s="1"/>
      <c r="K220" s="1"/>
      <c r="L220" s="40"/>
    </row>
    <row x14ac:dyDescent="0.25" r="221" customHeight="1" ht="18.75">
      <c r="A221" s="1"/>
      <c r="B221" s="1"/>
      <c r="C221" s="1"/>
      <c r="D221" s="1"/>
      <c r="E221" s="1"/>
      <c r="F221" s="3"/>
      <c r="G221" s="3"/>
      <c r="H221" s="228" t="s">
        <v>342</v>
      </c>
      <c r="I221" s="233">
        <v>0</v>
      </c>
      <c r="J221" s="1"/>
      <c r="K221" s="1"/>
      <c r="L221" s="40"/>
    </row>
    <row x14ac:dyDescent="0.25" r="222" customHeight="1" ht="18.75">
      <c r="A222" s="1"/>
      <c r="B222" s="1"/>
      <c r="C222" s="1"/>
      <c r="D222" s="1"/>
      <c r="E222" s="1"/>
      <c r="F222" s="3"/>
      <c r="G222" s="3"/>
      <c r="H222" s="232" t="s">
        <v>89</v>
      </c>
      <c r="I222" s="234" t="s">
        <v>603</v>
      </c>
      <c r="J222" s="1"/>
      <c r="K222" s="1"/>
      <c r="L222" s="40"/>
    </row>
    <row x14ac:dyDescent="0.25" r="223" customHeight="1" ht="18.75">
      <c r="A223" s="1"/>
      <c r="B223" s="1"/>
      <c r="C223" s="1"/>
      <c r="D223" s="1"/>
      <c r="E223" s="1"/>
      <c r="F223" s="3"/>
      <c r="G223" s="3"/>
      <c r="H223" s="226" t="s">
        <v>343</v>
      </c>
      <c r="I223" s="235">
        <v>11982076672</v>
      </c>
      <c r="J223" s="1"/>
      <c r="K223" s="1"/>
      <c r="L223" s="40"/>
    </row>
    <row x14ac:dyDescent="0.25" r="224" customHeight="1" ht="18.75">
      <c r="A224" s="1"/>
      <c r="B224" s="1"/>
      <c r="C224" s="1"/>
      <c r="D224" s="1"/>
      <c r="E224" s="1"/>
      <c r="F224" s="3"/>
      <c r="G224" s="3"/>
      <c r="H224" s="226" t="s">
        <v>79</v>
      </c>
      <c r="I224" s="235">
        <v>11961271147</v>
      </c>
      <c r="J224" s="1"/>
      <c r="K224" s="1"/>
      <c r="L224" s="40"/>
    </row>
    <row x14ac:dyDescent="0.25" r="225" customHeight="1" ht="18.75">
      <c r="A225" s="1"/>
      <c r="B225" s="1"/>
      <c r="C225" s="1"/>
      <c r="D225" s="1"/>
      <c r="E225" s="1"/>
      <c r="F225" s="3"/>
      <c r="G225" s="3"/>
      <c r="H225" s="226" t="s">
        <v>344</v>
      </c>
      <c r="I225" s="237" t="s">
        <v>700</v>
      </c>
      <c r="J225" s="1"/>
      <c r="K225" s="1"/>
      <c r="L225" s="40"/>
    </row>
    <row x14ac:dyDescent="0.25" r="226" customHeight="1" ht="18.75">
      <c r="A226" s="1"/>
      <c r="B226" s="1"/>
      <c r="C226" s="1"/>
      <c r="D226" s="1"/>
      <c r="E226" s="1"/>
      <c r="F226" s="3"/>
      <c r="G226" s="3"/>
      <c r="H226" s="226" t="s">
        <v>173</v>
      </c>
      <c r="I226" s="227" t="s">
        <v>701</v>
      </c>
      <c r="J226" s="1"/>
      <c r="K226" s="1"/>
      <c r="L226" s="40"/>
    </row>
    <row x14ac:dyDescent="0.25" r="227" customHeight="1" ht="18.75">
      <c r="A227" s="1"/>
      <c r="B227" s="1"/>
      <c r="C227" s="1"/>
      <c r="D227" s="1"/>
      <c r="E227" s="1"/>
      <c r="F227" s="3"/>
      <c r="G227" s="3"/>
      <c r="H227" s="226" t="s">
        <v>129</v>
      </c>
      <c r="I227" s="237" t="s">
        <v>702</v>
      </c>
      <c r="J227" s="1"/>
      <c r="K227" s="1"/>
      <c r="L227" s="40"/>
    </row>
    <row x14ac:dyDescent="0.25" r="228" customHeight="1" ht="18.75">
      <c r="A228" s="1"/>
      <c r="B228" s="1"/>
      <c r="C228" s="1"/>
      <c r="D228" s="1"/>
      <c r="E228" s="1"/>
      <c r="F228" s="3"/>
      <c r="G228" s="3"/>
      <c r="H228" s="226" t="s">
        <v>527</v>
      </c>
      <c r="I228" s="237" t="s">
        <v>528</v>
      </c>
      <c r="J228" s="1"/>
      <c r="K228" s="1"/>
      <c r="L228" s="40"/>
    </row>
    <row x14ac:dyDescent="0.25" r="229" customHeight="1" ht="18.75">
      <c r="A229" s="1"/>
      <c r="B229" s="1"/>
      <c r="C229" s="1"/>
      <c r="D229" s="1"/>
      <c r="E229" s="1"/>
      <c r="F229" s="3"/>
      <c r="G229" s="3"/>
      <c r="H229" s="226" t="s">
        <v>484</v>
      </c>
      <c r="I229" s="237" t="s">
        <v>703</v>
      </c>
      <c r="J229" s="1"/>
      <c r="K229" s="1"/>
      <c r="L229" s="40"/>
    </row>
    <row x14ac:dyDescent="0.25" r="230" customHeight="1" ht="18.75">
      <c r="A230" s="1"/>
      <c r="B230" s="1"/>
      <c r="C230" s="1"/>
      <c r="D230" s="1"/>
      <c r="E230" s="1"/>
      <c r="F230" s="3"/>
      <c r="G230" s="3"/>
      <c r="H230" s="226" t="s">
        <v>142</v>
      </c>
      <c r="I230" s="227" t="s">
        <v>704</v>
      </c>
      <c r="J230" s="1"/>
      <c r="K230" s="1"/>
      <c r="L230" s="40"/>
    </row>
    <row x14ac:dyDescent="0.25" r="231" customHeight="1" ht="18.75">
      <c r="A231" s="1"/>
      <c r="B231" s="1"/>
      <c r="C231" s="1"/>
      <c r="D231" s="1"/>
      <c r="E231" s="1"/>
      <c r="F231" s="3"/>
      <c r="G231" s="3"/>
      <c r="H231" s="226" t="s">
        <v>345</v>
      </c>
      <c r="I231" s="235">
        <v>11986264407</v>
      </c>
      <c r="J231" s="1"/>
      <c r="K231" s="1"/>
      <c r="L231" s="40"/>
    </row>
    <row x14ac:dyDescent="0.25" r="232" customHeight="1" ht="18.75">
      <c r="A232" s="1"/>
      <c r="B232" s="1"/>
      <c r="C232" s="1"/>
      <c r="D232" s="1"/>
      <c r="E232" s="1"/>
      <c r="F232" s="3"/>
      <c r="G232" s="3"/>
      <c r="H232" s="226" t="s">
        <v>346</v>
      </c>
      <c r="I232" s="235">
        <v>11939297527</v>
      </c>
      <c r="J232" s="1"/>
      <c r="K232" s="1"/>
      <c r="L232" s="40"/>
    </row>
    <row x14ac:dyDescent="0.25" r="233" customHeight="1" ht="18.75">
      <c r="A233" s="1"/>
      <c r="B233" s="1"/>
      <c r="C233" s="1"/>
      <c r="D233" s="1"/>
      <c r="E233" s="1"/>
      <c r="F233" s="3"/>
      <c r="G233" s="3"/>
      <c r="H233" s="232" t="s">
        <v>86</v>
      </c>
      <c r="I233" s="234" t="s">
        <v>705</v>
      </c>
      <c r="J233" s="1"/>
      <c r="K233" s="1"/>
      <c r="L233" s="40"/>
    </row>
    <row x14ac:dyDescent="0.25" r="234" customHeight="1" ht="18.75">
      <c r="A234" s="1"/>
      <c r="B234" s="1"/>
      <c r="C234" s="1"/>
      <c r="D234" s="1"/>
      <c r="E234" s="1"/>
      <c r="F234" s="3"/>
      <c r="G234" s="3"/>
      <c r="H234" s="226" t="s">
        <v>506</v>
      </c>
      <c r="I234" s="235">
        <v>11950633877</v>
      </c>
      <c r="J234" s="1"/>
      <c r="K234" s="1"/>
      <c r="L234" s="40"/>
    </row>
    <row x14ac:dyDescent="0.25" r="235" customHeight="1" ht="18.75">
      <c r="A235" s="1"/>
      <c r="B235" s="1"/>
      <c r="C235" s="1"/>
      <c r="D235" s="1"/>
      <c r="E235" s="1"/>
      <c r="F235" s="3"/>
      <c r="G235" s="3"/>
      <c r="H235" s="226" t="s">
        <v>143</v>
      </c>
      <c r="I235" s="237" t="s">
        <v>706</v>
      </c>
      <c r="J235" s="1"/>
      <c r="K235" s="1"/>
      <c r="L235" s="40"/>
    </row>
    <row x14ac:dyDescent="0.25" r="236" customHeight="1" ht="18.75">
      <c r="A236" s="1"/>
      <c r="B236" s="1"/>
      <c r="C236" s="1"/>
      <c r="D236" s="1"/>
      <c r="E236" s="1"/>
      <c r="F236" s="3"/>
      <c r="G236" s="3"/>
      <c r="H236" s="226" t="s">
        <v>81</v>
      </c>
      <c r="I236" s="237" t="s">
        <v>707</v>
      </c>
      <c r="J236" s="1"/>
      <c r="K236" s="1"/>
      <c r="L236" s="40"/>
    </row>
    <row x14ac:dyDescent="0.25" r="237" customHeight="1" ht="18.75">
      <c r="A237" s="1"/>
      <c r="B237" s="1"/>
      <c r="C237" s="1"/>
      <c r="D237" s="1"/>
      <c r="E237" s="1"/>
      <c r="F237" s="3"/>
      <c r="G237" s="3"/>
      <c r="H237" s="226" t="s">
        <v>348</v>
      </c>
      <c r="I237" s="237" t="s">
        <v>514</v>
      </c>
      <c r="J237" s="1"/>
      <c r="K237" s="1"/>
      <c r="L237" s="40"/>
    </row>
    <row x14ac:dyDescent="0.25" r="238" customHeight="1" ht="18.75">
      <c r="A238" s="1"/>
      <c r="B238" s="1"/>
      <c r="C238" s="1"/>
      <c r="D238" s="1"/>
      <c r="E238" s="1"/>
      <c r="F238" s="3"/>
      <c r="G238" s="3"/>
      <c r="H238" s="226" t="s">
        <v>349</v>
      </c>
      <c r="I238" s="237" t="s">
        <v>708</v>
      </c>
      <c r="J238" s="1"/>
      <c r="K238" s="1"/>
      <c r="L238" s="40"/>
    </row>
    <row x14ac:dyDescent="0.25" r="239" customHeight="1" ht="18.75">
      <c r="A239" s="1"/>
      <c r="B239" s="1"/>
      <c r="C239" s="1"/>
      <c r="D239" s="1"/>
      <c r="E239" s="1"/>
      <c r="F239" s="3"/>
      <c r="G239" s="3"/>
      <c r="H239" s="226" t="s">
        <v>499</v>
      </c>
      <c r="I239" s="235">
        <v>11996629272</v>
      </c>
      <c r="J239" s="1"/>
      <c r="K239" s="1"/>
      <c r="L239" s="40"/>
    </row>
    <row x14ac:dyDescent="0.25" r="240" customHeight="1" ht="18.75">
      <c r="A240" s="1"/>
      <c r="B240" s="1"/>
      <c r="C240" s="1"/>
      <c r="D240" s="1"/>
      <c r="E240" s="1"/>
      <c r="F240" s="3"/>
      <c r="G240" s="3"/>
      <c r="H240" s="226" t="s">
        <v>498</v>
      </c>
      <c r="I240" s="235">
        <v>11951295931</v>
      </c>
      <c r="J240" s="1"/>
      <c r="K240" s="1"/>
      <c r="L240" s="40"/>
    </row>
    <row x14ac:dyDescent="0.25" r="241" customHeight="1" ht="18.75">
      <c r="A241" s="1"/>
      <c r="B241" s="1"/>
      <c r="C241" s="1"/>
      <c r="D241" s="1"/>
      <c r="E241" s="1"/>
      <c r="F241" s="3"/>
      <c r="G241" s="3"/>
      <c r="H241" s="230" t="s">
        <v>350</v>
      </c>
      <c r="I241" s="237" t="s">
        <v>709</v>
      </c>
      <c r="J241" s="1"/>
      <c r="K241" s="1"/>
      <c r="L241" s="40"/>
    </row>
    <row x14ac:dyDescent="0.25" r="242" customHeight="1" ht="18.75">
      <c r="A242" s="1"/>
      <c r="B242" s="1"/>
      <c r="C242" s="1"/>
      <c r="D242" s="1"/>
      <c r="E242" s="1"/>
      <c r="F242" s="3"/>
      <c r="G242" s="3"/>
      <c r="H242" s="226" t="s">
        <v>438</v>
      </c>
      <c r="I242" s="235">
        <v>11940522469</v>
      </c>
      <c r="J242" s="1"/>
      <c r="K242" s="1"/>
      <c r="L242" s="40"/>
    </row>
    <row x14ac:dyDescent="0.25" r="243" customHeight="1" ht="18.75">
      <c r="A243" s="1"/>
      <c r="B243" s="1"/>
      <c r="C243" s="1"/>
      <c r="D243" s="1"/>
      <c r="E243" s="1"/>
      <c r="F243" s="3"/>
      <c r="G243" s="3"/>
      <c r="H243" s="226" t="s">
        <v>351</v>
      </c>
      <c r="I243" s="237" t="s">
        <v>710</v>
      </c>
      <c r="J243" s="1"/>
      <c r="K243" s="1"/>
      <c r="L243" s="40"/>
    </row>
    <row x14ac:dyDescent="0.25" r="244" customHeight="1" ht="18.75" customFormat="1" s="243">
      <c r="A244" s="244"/>
      <c r="B244" s="244"/>
      <c r="C244" s="244"/>
      <c r="D244" s="244"/>
      <c r="E244" s="244"/>
      <c r="F244" s="245"/>
      <c r="G244" s="245"/>
      <c r="H244" s="238" t="s">
        <v>104</v>
      </c>
      <c r="I244" s="239">
        <v>11954501055</v>
      </c>
      <c r="J244" s="244"/>
      <c r="K244" s="244"/>
      <c r="L244" s="246"/>
    </row>
    <row x14ac:dyDescent="0.25" r="245" customHeight="1" ht="18.75">
      <c r="A245" s="1"/>
      <c r="B245" s="1"/>
      <c r="C245" s="1"/>
      <c r="D245" s="1"/>
      <c r="E245" s="1"/>
      <c r="F245" s="3"/>
      <c r="G245" s="3"/>
      <c r="H245" s="226" t="s">
        <v>355</v>
      </c>
      <c r="I245" s="235">
        <v>11977790257</v>
      </c>
      <c r="J245" s="1"/>
      <c r="K245" s="1"/>
      <c r="L245" s="40"/>
    </row>
    <row x14ac:dyDescent="0.25" r="246" customHeight="1" ht="18.75">
      <c r="A246" s="1"/>
      <c r="B246" s="1"/>
      <c r="C246" s="1"/>
      <c r="D246" s="1"/>
      <c r="E246" s="1"/>
      <c r="F246" s="3"/>
      <c r="G246" s="3"/>
      <c r="H246" s="226" t="s">
        <v>120</v>
      </c>
      <c r="I246" s="237" t="s">
        <v>711</v>
      </c>
      <c r="J246" s="1"/>
      <c r="K246" s="1"/>
      <c r="L246" s="40"/>
    </row>
    <row x14ac:dyDescent="0.25" r="247" customHeight="1" ht="18.75">
      <c r="A247" s="1"/>
      <c r="B247" s="1"/>
      <c r="C247" s="1"/>
      <c r="D247" s="1"/>
      <c r="E247" s="1"/>
      <c r="F247" s="3"/>
      <c r="G247" s="3"/>
      <c r="H247" s="226" t="s">
        <v>356</v>
      </c>
      <c r="I247" s="235">
        <v>11966056200</v>
      </c>
      <c r="J247" s="1"/>
      <c r="K247" s="1"/>
      <c r="L247" s="40"/>
    </row>
    <row x14ac:dyDescent="0.25" r="248" customHeight="1" ht="18.75">
      <c r="A248" s="1"/>
      <c r="B248" s="1"/>
      <c r="C248" s="1"/>
      <c r="D248" s="1"/>
      <c r="E248" s="1"/>
      <c r="F248" s="3"/>
      <c r="G248" s="3"/>
      <c r="H248" s="226" t="s">
        <v>97</v>
      </c>
      <c r="I248" s="235">
        <v>11953207077</v>
      </c>
      <c r="J248" s="1"/>
      <c r="K248" s="1"/>
      <c r="L248" s="40"/>
    </row>
    <row x14ac:dyDescent="0.25" r="249" customHeight="1" ht="18.75">
      <c r="A249" s="1"/>
      <c r="B249" s="1"/>
      <c r="C249" s="1"/>
      <c r="D249" s="1"/>
      <c r="E249" s="1"/>
      <c r="F249" s="3"/>
      <c r="G249" s="3"/>
      <c r="H249" s="230" t="s">
        <v>429</v>
      </c>
      <c r="I249" s="231">
        <v>11994807873</v>
      </c>
      <c r="J249" s="1"/>
      <c r="K249" s="1"/>
      <c r="L249" s="40"/>
    </row>
    <row x14ac:dyDescent="0.25" r="250" customHeight="1" ht="18.75">
      <c r="A250" s="1"/>
      <c r="B250" s="1"/>
      <c r="C250" s="1"/>
      <c r="D250" s="1"/>
      <c r="E250" s="1"/>
      <c r="F250" s="3"/>
      <c r="G250" s="3"/>
      <c r="H250" s="226" t="s">
        <v>357</v>
      </c>
      <c r="I250" s="235">
        <v>11977760176</v>
      </c>
      <c r="J250" s="1"/>
      <c r="K250" s="1"/>
      <c r="L250" s="40"/>
    </row>
    <row x14ac:dyDescent="0.25" r="251" customHeight="1" ht="18.75">
      <c r="A251" s="1"/>
      <c r="B251" s="1"/>
      <c r="C251" s="1"/>
      <c r="D251" s="1"/>
      <c r="E251" s="1"/>
      <c r="F251" s="3"/>
      <c r="G251" s="3"/>
      <c r="H251" s="226" t="s">
        <v>358</v>
      </c>
      <c r="I251" s="235">
        <v>11950239369</v>
      </c>
      <c r="J251" s="1"/>
      <c r="K251" s="1"/>
      <c r="L251" s="40"/>
    </row>
    <row x14ac:dyDescent="0.25" r="252" customHeight="1" ht="18.75">
      <c r="A252" s="1"/>
      <c r="B252" s="1"/>
      <c r="C252" s="1"/>
      <c r="D252" s="1"/>
      <c r="E252" s="1"/>
      <c r="F252" s="3"/>
      <c r="G252" s="3"/>
      <c r="H252" s="226" t="s">
        <v>508</v>
      </c>
      <c r="I252" s="235">
        <v>11978108910</v>
      </c>
      <c r="J252" s="1"/>
      <c r="K252" s="1"/>
      <c r="L252" s="40"/>
    </row>
    <row x14ac:dyDescent="0.25" r="253" customHeight="1" ht="18.75">
      <c r="A253" s="1"/>
      <c r="B253" s="1"/>
      <c r="C253" s="1"/>
      <c r="D253" s="1"/>
      <c r="E253" s="1"/>
      <c r="F253" s="3"/>
      <c r="G253" s="3"/>
      <c r="H253" s="226" t="s">
        <v>359</v>
      </c>
      <c r="I253" s="235">
        <v>11958246382</v>
      </c>
      <c r="J253" s="1"/>
      <c r="K253" s="1"/>
      <c r="L253" s="40"/>
    </row>
    <row x14ac:dyDescent="0.25" r="254" customHeight="1" ht="18.75">
      <c r="A254" s="1"/>
      <c r="B254" s="1"/>
      <c r="C254" s="1"/>
      <c r="D254" s="1"/>
      <c r="E254" s="1"/>
      <c r="F254" s="3"/>
      <c r="G254" s="3"/>
      <c r="H254" s="226" t="s">
        <v>71</v>
      </c>
      <c r="I254" s="235">
        <v>11914183024</v>
      </c>
      <c r="J254" s="1"/>
      <c r="K254" s="1"/>
      <c r="L254" s="40"/>
    </row>
    <row x14ac:dyDescent="0.25" r="255" customHeight="1" ht="18.75">
      <c r="A255" s="1"/>
      <c r="B255" s="1"/>
      <c r="C255" s="1"/>
      <c r="D255" s="1"/>
      <c r="E255" s="1"/>
      <c r="F255" s="3"/>
      <c r="G255" s="3"/>
      <c r="H255" s="226" t="s">
        <v>360</v>
      </c>
      <c r="I255" s="235">
        <v>11976769560</v>
      </c>
      <c r="J255" s="1"/>
      <c r="K255" s="1"/>
      <c r="L255" s="40"/>
    </row>
    <row x14ac:dyDescent="0.25" r="256" customHeight="1" ht="18.75">
      <c r="A256" s="1"/>
      <c r="B256" s="1"/>
      <c r="C256" s="1"/>
      <c r="D256" s="1"/>
      <c r="E256" s="1"/>
      <c r="F256" s="3"/>
      <c r="G256" s="3"/>
      <c r="H256" s="226" t="s">
        <v>361</v>
      </c>
      <c r="I256" s="235">
        <v>11916962475</v>
      </c>
      <c r="J256" s="1"/>
      <c r="K256" s="1"/>
      <c r="L256" s="40"/>
    </row>
    <row x14ac:dyDescent="0.25" r="257" customHeight="1" ht="18.75">
      <c r="A257" s="1"/>
      <c r="B257" s="1"/>
      <c r="C257" s="1"/>
      <c r="D257" s="1"/>
      <c r="E257" s="1"/>
      <c r="F257" s="3"/>
      <c r="G257" s="3"/>
      <c r="H257" s="230" t="s">
        <v>362</v>
      </c>
      <c r="I257" s="235">
        <v>11987046899</v>
      </c>
      <c r="J257" s="1"/>
      <c r="K257" s="1"/>
      <c r="L257" s="40"/>
    </row>
    <row x14ac:dyDescent="0.25" r="258" customHeight="1" ht="18.75">
      <c r="A258" s="1"/>
      <c r="B258" s="1"/>
      <c r="C258" s="1"/>
      <c r="D258" s="1"/>
      <c r="E258" s="1"/>
      <c r="F258" s="3"/>
      <c r="G258" s="3"/>
      <c r="H258" s="226" t="s">
        <v>80</v>
      </c>
      <c r="I258" s="235">
        <v>11945347604</v>
      </c>
      <c r="J258" s="1"/>
      <c r="K258" s="1"/>
      <c r="L258" s="40"/>
    </row>
    <row x14ac:dyDescent="0.25" r="259" customHeight="1" ht="18.75">
      <c r="A259" s="1"/>
      <c r="B259" s="1"/>
      <c r="C259" s="1"/>
      <c r="D259" s="1"/>
      <c r="E259" s="1"/>
      <c r="F259" s="3"/>
      <c r="G259" s="3"/>
      <c r="H259" s="226" t="s">
        <v>363</v>
      </c>
      <c r="I259" s="237" t="s">
        <v>712</v>
      </c>
      <c r="J259" s="1"/>
      <c r="K259" s="1"/>
      <c r="L259" s="40"/>
    </row>
    <row x14ac:dyDescent="0.25" r="260" customHeight="1" ht="18.75">
      <c r="A260" s="1"/>
      <c r="B260" s="1"/>
      <c r="C260" s="1"/>
      <c r="D260" s="1"/>
      <c r="E260" s="1"/>
      <c r="F260" s="3"/>
      <c r="G260" s="3"/>
      <c r="H260" s="226" t="s">
        <v>394</v>
      </c>
      <c r="I260" s="237" t="s">
        <v>713</v>
      </c>
      <c r="J260" s="1"/>
      <c r="K260" s="1"/>
      <c r="L260" s="40"/>
    </row>
    <row x14ac:dyDescent="0.25" r="261" customHeight="1" ht="18.75">
      <c r="A261" s="1"/>
      <c r="B261" s="1"/>
      <c r="C261" s="1"/>
      <c r="D261" s="1"/>
      <c r="E261" s="1"/>
      <c r="F261" s="3"/>
      <c r="G261" s="3"/>
      <c r="H261" s="155" t="s">
        <v>374</v>
      </c>
      <c r="I261" s="234" t="s">
        <v>714</v>
      </c>
      <c r="J261" s="1"/>
      <c r="K261" s="1"/>
      <c r="L261" s="40"/>
    </row>
    <row x14ac:dyDescent="0.25" r="262" customHeight="1" ht="18.75">
      <c r="A262" s="1"/>
      <c r="B262" s="1"/>
      <c r="C262" s="1"/>
      <c r="D262" s="1"/>
      <c r="E262" s="1"/>
      <c r="F262" s="3"/>
      <c r="G262" s="3"/>
      <c r="H262" s="247" t="s">
        <v>364</v>
      </c>
      <c r="I262" s="237" t="s">
        <v>715</v>
      </c>
      <c r="J262" s="1"/>
      <c r="K262" s="1"/>
      <c r="L262" s="40"/>
    </row>
    <row x14ac:dyDescent="0.25" r="263" customHeight="1" ht="18.75">
      <c r="A263" s="1"/>
      <c r="B263" s="1"/>
      <c r="C263" s="1"/>
      <c r="D263" s="1"/>
      <c r="E263" s="1"/>
      <c r="F263" s="3"/>
      <c r="G263" s="3"/>
      <c r="H263" s="247" t="s">
        <v>396</v>
      </c>
      <c r="I263" s="237" t="s">
        <v>716</v>
      </c>
      <c r="J263" s="1"/>
      <c r="K263" s="1"/>
      <c r="L263" s="40"/>
    </row>
    <row x14ac:dyDescent="0.25" r="264" customHeight="1" ht="18.75">
      <c r="A264" s="1"/>
      <c r="B264" s="1"/>
      <c r="C264" s="1"/>
      <c r="D264" s="1"/>
      <c r="E264" s="1"/>
      <c r="F264" s="3"/>
      <c r="G264" s="3"/>
      <c r="H264" s="226" t="s">
        <v>174</v>
      </c>
      <c r="I264" s="235">
        <v>11981536575</v>
      </c>
      <c r="J264" s="1"/>
      <c r="K264" s="1"/>
      <c r="L264" s="40"/>
    </row>
    <row x14ac:dyDescent="0.25" r="265" customHeight="1" ht="18.75">
      <c r="A265" s="1"/>
      <c r="B265" s="1"/>
      <c r="C265" s="1"/>
      <c r="D265" s="1"/>
      <c r="E265" s="1"/>
      <c r="F265" s="3"/>
      <c r="G265" s="3"/>
      <c r="H265" s="155" t="s">
        <v>365</v>
      </c>
      <c r="I265" s="234" t="s">
        <v>603</v>
      </c>
      <c r="J265" s="1"/>
      <c r="K265" s="1"/>
      <c r="L265" s="40"/>
    </row>
    <row x14ac:dyDescent="0.25" r="266" customHeight="1" ht="18.75">
      <c r="A266" s="1"/>
      <c r="B266" s="1"/>
      <c r="C266" s="1"/>
      <c r="D266" s="1"/>
      <c r="E266" s="1"/>
      <c r="F266" s="3"/>
      <c r="G266" s="3"/>
      <c r="H266" s="226" t="s">
        <v>366</v>
      </c>
      <c r="I266" s="237" t="s">
        <v>717</v>
      </c>
      <c r="J266" s="1"/>
      <c r="K266" s="1"/>
      <c r="L266" s="40"/>
    </row>
    <row x14ac:dyDescent="0.25" r="267" customHeight="1" ht="18.75">
      <c r="A267" s="1"/>
      <c r="B267" s="1"/>
      <c r="C267" s="1"/>
      <c r="D267" s="1"/>
      <c r="E267" s="1"/>
      <c r="F267" s="3"/>
      <c r="G267" s="3"/>
      <c r="H267" s="226" t="s">
        <v>442</v>
      </c>
      <c r="I267" s="235">
        <v>11943267785</v>
      </c>
      <c r="J267" s="1"/>
      <c r="K267" s="1"/>
      <c r="L267" s="40"/>
    </row>
    <row x14ac:dyDescent="0.25" r="268" customHeight="1" ht="18.75">
      <c r="A268" s="1"/>
      <c r="B268" s="1"/>
      <c r="C268" s="1"/>
      <c r="D268" s="1"/>
      <c r="E268" s="1"/>
      <c r="F268" s="3"/>
      <c r="G268" s="3"/>
      <c r="H268" s="230" t="s">
        <v>400</v>
      </c>
      <c r="I268" s="231">
        <v>11943267785</v>
      </c>
      <c r="J268" s="1"/>
      <c r="K268" s="1"/>
      <c r="L268" s="40"/>
    </row>
    <row x14ac:dyDescent="0.25" r="269" customHeight="1" ht="18.75">
      <c r="A269" s="1"/>
      <c r="B269" s="1"/>
      <c r="C269" s="1"/>
      <c r="D269" s="1"/>
      <c r="E269" s="1"/>
      <c r="F269" s="3"/>
      <c r="G269" s="3"/>
      <c r="H269" s="226" t="s">
        <v>483</v>
      </c>
      <c r="I269" s="235">
        <v>11964277405</v>
      </c>
      <c r="J269" s="1"/>
      <c r="K269" s="1"/>
      <c r="L269" s="40"/>
    </row>
    <row x14ac:dyDescent="0.25" r="270" customHeight="1" ht="18.75">
      <c r="A270" s="1"/>
      <c r="B270" s="1"/>
      <c r="C270" s="1"/>
      <c r="D270" s="1"/>
      <c r="E270" s="1"/>
      <c r="F270" s="3"/>
      <c r="G270" s="3"/>
      <c r="H270" s="226" t="s">
        <v>367</v>
      </c>
      <c r="I270" s="237" t="s">
        <v>516</v>
      </c>
      <c r="J270" s="1"/>
      <c r="K270" s="1"/>
      <c r="L270" s="40"/>
    </row>
    <row x14ac:dyDescent="0.25" r="271" customHeight="1" ht="18.75">
      <c r="A271" s="1"/>
      <c r="B271" s="1"/>
      <c r="C271" s="1"/>
      <c r="D271" s="1"/>
      <c r="E271" s="1"/>
      <c r="F271" s="3"/>
      <c r="G271" s="3"/>
      <c r="H271" s="230" t="s">
        <v>408</v>
      </c>
      <c r="I271" s="231">
        <v>11999338986</v>
      </c>
      <c r="J271" s="1"/>
      <c r="K271" s="1"/>
      <c r="L271" s="40"/>
    </row>
    <row x14ac:dyDescent="0.25" r="272" customHeight="1" ht="18.75">
      <c r="A272" s="1"/>
      <c r="B272" s="1"/>
      <c r="C272" s="1"/>
      <c r="D272" s="1"/>
      <c r="E272" s="1"/>
      <c r="F272" s="3"/>
      <c r="G272" s="3"/>
      <c r="H272" s="226" t="s">
        <v>176</v>
      </c>
      <c r="I272" s="237" t="s">
        <v>718</v>
      </c>
      <c r="J272" s="1"/>
      <c r="K272" s="1"/>
      <c r="L272" s="40"/>
    </row>
    <row x14ac:dyDescent="0.25" r="273" customHeight="1" ht="18.75">
      <c r="A273" s="1"/>
      <c r="B273" s="1"/>
      <c r="C273" s="1"/>
      <c r="D273" s="1"/>
      <c r="E273" s="1"/>
      <c r="F273" s="3"/>
      <c r="G273" s="3"/>
      <c r="H273" s="230" t="s">
        <v>368</v>
      </c>
      <c r="I273" s="237" t="s">
        <v>719</v>
      </c>
      <c r="J273" s="1"/>
      <c r="K273" s="1"/>
      <c r="L273" s="40"/>
    </row>
    <row x14ac:dyDescent="0.25" r="274" customHeight="1" ht="18.75">
      <c r="A274" s="1"/>
      <c r="B274" s="1"/>
      <c r="C274" s="1"/>
      <c r="D274" s="1"/>
      <c r="E274" s="1"/>
      <c r="F274" s="3"/>
      <c r="G274" s="3"/>
      <c r="H274" s="226" t="s">
        <v>122</v>
      </c>
      <c r="I274" s="237" t="s">
        <v>720</v>
      </c>
      <c r="J274" s="1"/>
      <c r="K274" s="1"/>
      <c r="L274" s="40"/>
    </row>
    <row x14ac:dyDescent="0.25" r="275" customHeight="1" ht="18.75">
      <c r="A275" s="1"/>
      <c r="B275" s="1"/>
      <c r="C275" s="1"/>
      <c r="D275" s="1"/>
      <c r="E275" s="1"/>
      <c r="F275" s="3"/>
      <c r="G275" s="3"/>
      <c r="H275" s="226" t="s">
        <v>500</v>
      </c>
      <c r="I275" s="237" t="s">
        <v>721</v>
      </c>
      <c r="J275" s="1"/>
      <c r="K275" s="1"/>
      <c r="L275" s="40"/>
    </row>
    <row x14ac:dyDescent="0.25" r="276" customHeight="1" ht="18.75">
      <c r="A276" s="1"/>
      <c r="B276" s="1"/>
      <c r="C276" s="1"/>
      <c r="D276" s="1"/>
      <c r="E276" s="1"/>
      <c r="F276" s="3"/>
      <c r="G276" s="3"/>
      <c r="H276" s="226" t="s">
        <v>369</v>
      </c>
      <c r="I276" s="237" t="s">
        <v>722</v>
      </c>
      <c r="J276" s="1"/>
      <c r="K276" s="1"/>
      <c r="L276" s="40"/>
    </row>
    <row x14ac:dyDescent="0.25" r="277" customHeight="1" ht="18.75">
      <c r="A277" s="1"/>
      <c r="B277" s="1"/>
      <c r="C277" s="1"/>
      <c r="D277" s="1"/>
      <c r="E277" s="1"/>
      <c r="F277" s="3"/>
      <c r="G277" s="3"/>
      <c r="H277" s="226" t="s">
        <v>451</v>
      </c>
      <c r="I277" s="237" t="s">
        <v>723</v>
      </c>
      <c r="J277" s="1"/>
      <c r="K277" s="1"/>
      <c r="L277" s="40"/>
    </row>
    <row x14ac:dyDescent="0.25" r="278" customHeight="1" ht="18.75">
      <c r="A278" s="1"/>
      <c r="B278" s="1"/>
      <c r="C278" s="1"/>
      <c r="D278" s="1"/>
      <c r="E278" s="1"/>
      <c r="F278" s="3"/>
      <c r="G278" s="3"/>
      <c r="H278" s="232" t="s">
        <v>370</v>
      </c>
      <c r="I278" s="234" t="s">
        <v>603</v>
      </c>
      <c r="J278" s="1"/>
      <c r="K278" s="1"/>
      <c r="L278" s="40"/>
    </row>
    <row x14ac:dyDescent="0.25" r="279" customHeight="1" ht="18.75" customFormat="1" s="243">
      <c r="A279" s="244"/>
      <c r="B279" s="244"/>
      <c r="C279" s="244"/>
      <c r="D279" s="244"/>
      <c r="E279" s="244"/>
      <c r="F279" s="245"/>
      <c r="G279" s="245"/>
      <c r="H279" s="238" t="s">
        <v>105</v>
      </c>
      <c r="I279" s="239">
        <v>11932614609</v>
      </c>
      <c r="J279" s="244"/>
      <c r="K279" s="244"/>
      <c r="L279" s="246"/>
    </row>
    <row x14ac:dyDescent="0.25" r="280" customHeight="1" ht="18.75">
      <c r="A280" s="1"/>
      <c r="B280" s="1"/>
      <c r="C280" s="1"/>
      <c r="D280" s="1"/>
      <c r="E280" s="1"/>
      <c r="F280" s="3"/>
      <c r="G280" s="3"/>
      <c r="H280" s="226" t="s">
        <v>371</v>
      </c>
      <c r="I280" s="237" t="s">
        <v>724</v>
      </c>
      <c r="J280" s="1"/>
      <c r="K280" s="1"/>
      <c r="L280" s="40"/>
    </row>
    <row x14ac:dyDescent="0.25" r="281" customHeight="1" ht="18.75">
      <c r="A281" s="1"/>
      <c r="B281" s="1"/>
      <c r="C281" s="1"/>
      <c r="D281" s="1"/>
      <c r="E281" s="1"/>
      <c r="F281" s="3"/>
      <c r="G281" s="3"/>
      <c r="H281" s="226" t="s">
        <v>392</v>
      </c>
      <c r="I281" s="237" t="s">
        <v>613</v>
      </c>
      <c r="J281" s="1"/>
      <c r="K281" s="1"/>
      <c r="L281" s="40"/>
    </row>
    <row x14ac:dyDescent="0.25" r="282" customHeight="1" ht="18.75">
      <c r="A282" s="1"/>
      <c r="B282" s="1"/>
      <c r="C282" s="1"/>
      <c r="D282" s="1"/>
      <c r="E282" s="1"/>
      <c r="F282" s="3"/>
      <c r="G282" s="3"/>
      <c r="H282" s="226" t="s">
        <v>372</v>
      </c>
      <c r="I282" s="237" t="s">
        <v>725</v>
      </c>
      <c r="J282" s="1"/>
      <c r="K282" s="1"/>
      <c r="L282" s="40"/>
    </row>
    <row x14ac:dyDescent="0.25" r="283" customHeight="1" ht="18.75">
      <c r="A283" s="1"/>
      <c r="B283" s="1"/>
      <c r="C283" s="1"/>
      <c r="D283" s="1"/>
      <c r="E283" s="1"/>
      <c r="F283" s="3"/>
      <c r="G283" s="3"/>
      <c r="H283" s="226" t="s">
        <v>452</v>
      </c>
      <c r="I283" s="237" t="s">
        <v>651</v>
      </c>
      <c r="J283" s="1"/>
      <c r="K283" s="1"/>
      <c r="L283" s="40"/>
    </row>
    <row x14ac:dyDescent="0.25" r="284" customHeight="1" ht="18.75">
      <c r="A284" s="1"/>
      <c r="B284" s="1"/>
      <c r="C284" s="1"/>
      <c r="D284" s="1"/>
      <c r="E284" s="1"/>
      <c r="F284" s="3"/>
      <c r="G284" s="3"/>
      <c r="H284" s="226" t="s">
        <v>131</v>
      </c>
      <c r="I284" s="237" t="s">
        <v>726</v>
      </c>
      <c r="J284" s="1"/>
      <c r="K284" s="1"/>
      <c r="L284" s="40"/>
    </row>
    <row x14ac:dyDescent="0.25" r="285" customHeight="1" ht="18.75">
      <c r="A285" s="1"/>
      <c r="B285" s="1"/>
      <c r="C285" s="1"/>
      <c r="D285" s="1"/>
      <c r="E285" s="1"/>
      <c r="F285" s="3"/>
      <c r="G285" s="3"/>
      <c r="H285" s="226" t="s">
        <v>373</v>
      </c>
      <c r="I285" s="237" t="s">
        <v>727</v>
      </c>
      <c r="J285" s="1"/>
      <c r="K285" s="1"/>
      <c r="L285" s="40"/>
    </row>
    <row x14ac:dyDescent="0.25" r="286" customHeight="1" ht="18.75">
      <c r="A286" s="1"/>
      <c r="B286" s="1"/>
      <c r="C286" s="1"/>
      <c r="D286" s="1"/>
      <c r="E286" s="1"/>
      <c r="F286" s="3"/>
      <c r="G286" s="3"/>
      <c r="H286" s="226" t="s">
        <v>132</v>
      </c>
      <c r="I286" s="231">
        <v>11973449123</v>
      </c>
      <c r="J286" s="1"/>
      <c r="K286" s="1"/>
      <c r="L286" s="40"/>
    </row>
    <row x14ac:dyDescent="0.25" r="287" customHeight="1" ht="18.75">
      <c r="A287" s="1"/>
      <c r="B287" s="1"/>
      <c r="C287" s="1"/>
      <c r="D287" s="1"/>
      <c r="E287" s="1"/>
      <c r="F287" s="3"/>
      <c r="G287" s="3"/>
      <c r="H287" s="232" t="s">
        <v>133</v>
      </c>
      <c r="I287" s="234" t="s">
        <v>728</v>
      </c>
      <c r="J287" s="1"/>
      <c r="K287" s="1"/>
      <c r="L287" s="40"/>
    </row>
    <row x14ac:dyDescent="0.25" r="288" customHeight="1" ht="18.75">
      <c r="A288" s="1"/>
      <c r="B288" s="1"/>
      <c r="C288" s="1"/>
      <c r="D288" s="1"/>
      <c r="E288" s="1"/>
      <c r="F288" s="3"/>
      <c r="G288" s="3"/>
      <c r="H288" s="232" t="s">
        <v>134</v>
      </c>
      <c r="I288" s="234" t="s">
        <v>729</v>
      </c>
      <c r="J288" s="1"/>
      <c r="K288" s="1"/>
      <c r="L288" s="40"/>
    </row>
    <row x14ac:dyDescent="0.25" r="289" customHeight="1" ht="18.75">
      <c r="A289" s="1"/>
      <c r="B289" s="1"/>
      <c r="C289" s="1"/>
      <c r="D289" s="1"/>
      <c r="E289" s="1"/>
      <c r="F289" s="3"/>
      <c r="G289" s="3"/>
      <c r="H289" s="232" t="s">
        <v>135</v>
      </c>
      <c r="I289" s="234" t="s">
        <v>730</v>
      </c>
      <c r="J289" s="1"/>
      <c r="K289" s="1"/>
      <c r="L289" s="40"/>
    </row>
    <row x14ac:dyDescent="0.25" r="290" customHeight="1" ht="18.75">
      <c r="A290" s="1"/>
      <c r="B290" s="1"/>
      <c r="C290" s="1"/>
      <c r="D290" s="1"/>
      <c r="E290" s="1"/>
      <c r="F290" s="3"/>
      <c r="G290" s="3"/>
      <c r="H290" s="232" t="s">
        <v>113</v>
      </c>
      <c r="I290" s="234" t="s">
        <v>731</v>
      </c>
      <c r="J290" s="1"/>
      <c r="K290" s="1"/>
      <c r="L290" s="40"/>
    </row>
    <row x14ac:dyDescent="0.25" r="291" customHeight="1" ht="18.75">
      <c r="A291" s="1"/>
      <c r="B291" s="1"/>
      <c r="C291" s="1"/>
      <c r="D291" s="1"/>
      <c r="E291" s="1"/>
      <c r="F291" s="3"/>
      <c r="G291" s="3"/>
      <c r="H291" s="232" t="s">
        <v>144</v>
      </c>
      <c r="I291" s="234" t="s">
        <v>732</v>
      </c>
      <c r="J291" s="1"/>
      <c r="K291" s="1"/>
      <c r="L291" s="40"/>
    </row>
    <row x14ac:dyDescent="0.25" r="292" customHeight="1" ht="18.75">
      <c r="A292" s="1"/>
      <c r="B292" s="1"/>
      <c r="C292" s="1"/>
      <c r="D292" s="1"/>
      <c r="E292" s="1"/>
      <c r="F292" s="3"/>
      <c r="G292" s="3"/>
      <c r="H292" s="232" t="s">
        <v>145</v>
      </c>
      <c r="I292" s="234" t="s">
        <v>733</v>
      </c>
      <c r="J292" s="1"/>
      <c r="K292" s="1"/>
      <c r="L292" s="40"/>
    </row>
    <row x14ac:dyDescent="0.25" r="293" customHeight="1" ht="18.75">
      <c r="A293" s="1"/>
      <c r="B293" s="1"/>
      <c r="C293" s="1"/>
      <c r="D293" s="1"/>
      <c r="E293" s="1"/>
      <c r="F293" s="3"/>
      <c r="G293" s="3"/>
      <c r="H293" s="232" t="s">
        <v>146</v>
      </c>
      <c r="I293" s="234" t="s">
        <v>734</v>
      </c>
      <c r="J293" s="1"/>
      <c r="K293" s="1"/>
      <c r="L293" s="40"/>
    </row>
    <row x14ac:dyDescent="0.25" r="294" customHeight="1" ht="18.75">
      <c r="A294" s="1"/>
      <c r="B294" s="1"/>
      <c r="C294" s="1"/>
      <c r="D294" s="1"/>
      <c r="E294" s="1"/>
      <c r="F294" s="3"/>
      <c r="G294" s="3"/>
      <c r="H294" s="232" t="s">
        <v>149</v>
      </c>
      <c r="I294" s="234" t="s">
        <v>735</v>
      </c>
      <c r="J294" s="1"/>
      <c r="K294" s="1"/>
      <c r="L294" s="40"/>
    </row>
    <row x14ac:dyDescent="0.25" r="295" customHeight="1" ht="18.75">
      <c r="A295" s="1"/>
      <c r="B295" s="1"/>
      <c r="C295" s="1"/>
      <c r="D295" s="1"/>
      <c r="E295" s="1"/>
      <c r="F295" s="3"/>
      <c r="G295" s="3"/>
      <c r="H295" s="232" t="s">
        <v>150</v>
      </c>
      <c r="I295" s="234" t="s">
        <v>736</v>
      </c>
      <c r="J295" s="1"/>
      <c r="K295" s="1"/>
      <c r="L295" s="40"/>
    </row>
    <row x14ac:dyDescent="0.25" r="296" customHeight="1" ht="18.75">
      <c r="A296" s="1"/>
      <c r="B296" s="1"/>
      <c r="C296" s="1"/>
      <c r="D296" s="1"/>
      <c r="E296" s="1"/>
      <c r="F296" s="3"/>
      <c r="G296" s="3"/>
      <c r="H296" s="232" t="s">
        <v>166</v>
      </c>
      <c r="I296" s="234" t="s">
        <v>737</v>
      </c>
      <c r="J296" s="1"/>
      <c r="K296" s="1"/>
      <c r="L296" s="40"/>
    </row>
    <row x14ac:dyDescent="0.25" r="297" customHeight="1" ht="18.75">
      <c r="A297" s="1"/>
      <c r="B297" s="1"/>
      <c r="C297" s="1"/>
      <c r="D297" s="1"/>
      <c r="E297" s="1"/>
      <c r="F297" s="3"/>
      <c r="G297" s="3"/>
      <c r="H297" s="232" t="s">
        <v>123</v>
      </c>
      <c r="I297" s="234" t="s">
        <v>738</v>
      </c>
      <c r="J297" s="1"/>
      <c r="K297" s="1"/>
      <c r="L297" s="40"/>
    </row>
    <row x14ac:dyDescent="0.25" r="298" customHeight="1" ht="18.75">
      <c r="A298" s="1"/>
      <c r="B298" s="1"/>
      <c r="C298" s="1"/>
      <c r="D298" s="1"/>
      <c r="E298" s="1"/>
      <c r="F298" s="3"/>
      <c r="G298" s="3"/>
      <c r="H298" s="232" t="s">
        <v>169</v>
      </c>
      <c r="I298" s="234" t="s">
        <v>739</v>
      </c>
      <c r="J298" s="1"/>
      <c r="K298" s="1"/>
      <c r="L298" s="4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U44"/>
  <sheetViews>
    <sheetView workbookViewId="0"/>
  </sheetViews>
  <sheetFormatPr defaultRowHeight="15" x14ac:dyDescent="0.25"/>
  <cols>
    <col min="1" max="1" style="70" width="5.576428571428571" customWidth="1" bestFit="1"/>
    <col min="2" max="2" style="11" width="16.290714285714284" customWidth="1" bestFit="1"/>
    <col min="3" max="3" style="70" width="12.719285714285713" customWidth="1" bestFit="1"/>
    <col min="4" max="4" style="13" width="19.14785714285714" customWidth="1" bestFit="1"/>
    <col min="5" max="5" style="13" width="10.005" customWidth="1" bestFit="1"/>
    <col min="6" max="6" style="11" width="1.5764285714285713" customWidth="1" bestFit="1"/>
    <col min="7" max="7" style="11" width="16.290714285714284" customWidth="1" bestFit="1"/>
    <col min="8" max="8" style="70" width="12.719285714285713" customWidth="1" bestFit="1"/>
    <col min="9" max="9" style="13" width="19.14785714285714" customWidth="1" bestFit="1"/>
    <col min="10" max="10" style="13" width="10.005" customWidth="1" bestFit="1"/>
    <col min="11" max="11" style="11" width="1.5764285714285713" customWidth="1" bestFit="1"/>
    <col min="12" max="12" style="11" width="16.290714285714284" customWidth="1" bestFit="1"/>
    <col min="13" max="13" style="70" width="12.719285714285713" customWidth="1" bestFit="1"/>
    <col min="14" max="14" style="13" width="19.14785714285714" customWidth="1" bestFit="1"/>
    <col min="15" max="15" style="13" width="10.005" customWidth="1" bestFit="1"/>
    <col min="16" max="16" style="11" width="8.005" customWidth="1" bestFit="1"/>
    <col min="17" max="17" style="157" width="34.86214285714286" customWidth="1" bestFit="1"/>
    <col min="18" max="18" style="220" width="10.005" customWidth="1" bestFit="1"/>
    <col min="19" max="19" style="220" width="10.005" customWidth="1" bestFit="1"/>
    <col min="20" max="20" style="220" width="10.005" customWidth="1" bestFit="1"/>
    <col min="21" max="21" style="221" width="13.719285714285713" customWidth="1" bestFit="1"/>
  </cols>
  <sheetData>
    <row x14ac:dyDescent="0.25" r="1" customHeight="1" ht="18.75">
      <c r="A1" s="170">
        <v>5656</v>
      </c>
      <c r="B1" s="171" t="s">
        <v>534</v>
      </c>
      <c r="C1" s="172"/>
      <c r="D1" s="173"/>
      <c r="E1" s="173"/>
      <c r="F1" s="171"/>
      <c r="G1" s="171"/>
      <c r="H1" s="172"/>
      <c r="I1" s="173"/>
      <c r="J1" s="173"/>
      <c r="K1" s="171"/>
      <c r="L1" s="171"/>
      <c r="M1" s="172"/>
      <c r="N1" s="173"/>
      <c r="O1" s="173"/>
      <c r="P1" s="174" t="s">
        <v>535</v>
      </c>
      <c r="Q1" s="175" t="s">
        <v>536</v>
      </c>
      <c r="R1" s="176">
        <v>0</v>
      </c>
      <c r="S1" s="176">
        <v>0</v>
      </c>
      <c r="T1" s="176">
        <v>0</v>
      </c>
      <c r="U1" s="177">
        <v>0</v>
      </c>
    </row>
    <row x14ac:dyDescent="0.25" r="2" customHeight="1" ht="18.75">
      <c r="A2" s="40"/>
      <c r="B2" s="1"/>
      <c r="C2" s="40"/>
      <c r="D2" s="3"/>
      <c r="E2" s="3"/>
      <c r="F2" s="1"/>
      <c r="G2" s="1"/>
      <c r="H2" s="40"/>
      <c r="I2" s="3"/>
      <c r="J2" s="3"/>
      <c r="K2" s="1"/>
      <c r="L2" s="1"/>
      <c r="M2" s="40"/>
      <c r="N2" s="3"/>
      <c r="O2" s="3"/>
      <c r="P2" s="1"/>
      <c r="Q2" s="161" t="s">
        <v>84</v>
      </c>
      <c r="R2" s="178">
        <v>12</v>
      </c>
      <c r="S2" s="178">
        <f>(SUM(PRECIFICAÇÃO!E15:E18)/15)+SUM(E5:E7)</f>
      </c>
      <c r="T2" s="178">
        <f>R2-S2</f>
      </c>
      <c r="U2" s="179">
        <v>15</v>
      </c>
    </row>
    <row x14ac:dyDescent="0.25" r="3" customHeight="1" ht="18.75">
      <c r="A3" s="40"/>
      <c r="B3" s="180" t="s">
        <v>537</v>
      </c>
      <c r="C3" s="181"/>
      <c r="D3" s="182"/>
      <c r="E3" s="182"/>
      <c r="F3" s="183"/>
      <c r="G3" s="180" t="s">
        <v>538</v>
      </c>
      <c r="H3" s="181"/>
      <c r="I3" s="182"/>
      <c r="J3" s="182"/>
      <c r="K3" s="183"/>
      <c r="L3" s="180" t="s">
        <v>539</v>
      </c>
      <c r="M3" s="181"/>
      <c r="N3" s="182"/>
      <c r="O3" s="182"/>
      <c r="P3" s="174" t="s">
        <v>540</v>
      </c>
      <c r="Q3" s="161" t="s">
        <v>460</v>
      </c>
      <c r="R3" s="178">
        <v>12</v>
      </c>
      <c r="S3" s="178"/>
      <c r="T3" s="178">
        <f>R3-S3</f>
      </c>
      <c r="U3" s="179">
        <v>15</v>
      </c>
    </row>
    <row x14ac:dyDescent="0.25" r="4" customHeight="1" ht="18.75">
      <c r="A4" s="40"/>
      <c r="B4" s="184" t="s">
        <v>541</v>
      </c>
      <c r="C4" s="185" t="s">
        <v>53</v>
      </c>
      <c r="D4" s="186" t="s">
        <v>542</v>
      </c>
      <c r="E4" s="186" t="s">
        <v>5</v>
      </c>
      <c r="F4" s="183"/>
      <c r="G4" s="184" t="s">
        <v>541</v>
      </c>
      <c r="H4" s="185" t="s">
        <v>53</v>
      </c>
      <c r="I4" s="186" t="s">
        <v>542</v>
      </c>
      <c r="J4" s="186" t="s">
        <v>5</v>
      </c>
      <c r="K4" s="183"/>
      <c r="L4" s="184" t="s">
        <v>541</v>
      </c>
      <c r="M4" s="185" t="s">
        <v>53</v>
      </c>
      <c r="N4" s="186" t="s">
        <v>542</v>
      </c>
      <c r="O4" s="186" t="s">
        <v>5</v>
      </c>
      <c r="P4" s="1"/>
      <c r="Q4" s="161" t="s">
        <v>165</v>
      </c>
      <c r="R4" s="178">
        <v>12</v>
      </c>
      <c r="S4" s="178">
        <v>2.45</v>
      </c>
      <c r="T4" s="178">
        <f>R4-S4</f>
      </c>
      <c r="U4" s="179">
        <v>13</v>
      </c>
    </row>
    <row x14ac:dyDescent="0.25" r="5" customHeight="1" ht="18.75">
      <c r="A5" s="40"/>
      <c r="B5" s="161" t="s">
        <v>543</v>
      </c>
      <c r="C5" s="187">
        <v>4</v>
      </c>
      <c r="D5" s="178">
        <v>0.04</v>
      </c>
      <c r="E5" s="178">
        <f>C5*D5</f>
      </c>
      <c r="F5" s="183"/>
      <c r="G5" s="161" t="s">
        <v>544</v>
      </c>
      <c r="H5" s="187">
        <v>1</v>
      </c>
      <c r="I5" s="178">
        <v>0.19</v>
      </c>
      <c r="J5" s="178">
        <f>H5*I5</f>
      </c>
      <c r="K5" s="183"/>
      <c r="L5" s="161" t="s">
        <v>544</v>
      </c>
      <c r="M5" s="187">
        <v>1</v>
      </c>
      <c r="N5" s="178">
        <v>3.8</v>
      </c>
      <c r="O5" s="178">
        <f>M5*N5</f>
      </c>
      <c r="P5" s="1"/>
      <c r="Q5" s="161" t="s">
        <v>76</v>
      </c>
      <c r="R5" s="178">
        <v>12</v>
      </c>
      <c r="S5" s="178">
        <v>0</v>
      </c>
      <c r="T5" s="178">
        <f>R5-S5</f>
      </c>
      <c r="U5" s="179">
        <v>15</v>
      </c>
    </row>
    <row x14ac:dyDescent="0.25" r="6" customHeight="1" ht="18.75">
      <c r="A6" s="40"/>
      <c r="B6" s="161" t="s">
        <v>545</v>
      </c>
      <c r="C6" s="187">
        <v>4</v>
      </c>
      <c r="D6" s="178">
        <v>0.029</v>
      </c>
      <c r="E6" s="178">
        <f>C6*D6</f>
      </c>
      <c r="F6" s="183"/>
      <c r="G6" s="1"/>
      <c r="H6" s="40"/>
      <c r="I6" s="3"/>
      <c r="J6" s="3"/>
      <c r="K6" s="183"/>
      <c r="L6" s="1"/>
      <c r="M6" s="40"/>
      <c r="N6" s="3"/>
      <c r="O6" s="3"/>
      <c r="P6" s="1"/>
      <c r="Q6" s="161" t="s">
        <v>546</v>
      </c>
      <c r="R6" s="178">
        <v>12</v>
      </c>
      <c r="S6" s="178">
        <v>0</v>
      </c>
      <c r="T6" s="178">
        <f>R6-S6</f>
      </c>
      <c r="U6" s="179">
        <v>15</v>
      </c>
    </row>
    <row x14ac:dyDescent="0.25" r="7" customHeight="1" ht="18.75">
      <c r="A7" s="40"/>
      <c r="B7" s="161" t="s">
        <v>544</v>
      </c>
      <c r="C7" s="187">
        <v>1</v>
      </c>
      <c r="D7" s="178">
        <v>0.22</v>
      </c>
      <c r="E7" s="178">
        <f>C7*D7</f>
      </c>
      <c r="F7" s="183"/>
      <c r="G7" s="1"/>
      <c r="H7" s="40"/>
      <c r="I7" s="3"/>
      <c r="J7" s="3"/>
      <c r="K7" s="183"/>
      <c r="L7" s="1"/>
      <c r="M7" s="40"/>
      <c r="N7" s="3"/>
      <c r="O7" s="3"/>
      <c r="P7" s="1"/>
      <c r="Q7" s="161" t="s">
        <v>106</v>
      </c>
      <c r="R7" s="178">
        <v>12</v>
      </c>
      <c r="S7" s="178">
        <v>0</v>
      </c>
      <c r="T7" s="178">
        <f>R7-S7</f>
      </c>
      <c r="U7" s="179">
        <v>15</v>
      </c>
    </row>
    <row x14ac:dyDescent="0.25" r="8" customHeight="1" ht="18.75">
      <c r="A8" s="40"/>
      <c r="B8" s="175" t="s">
        <v>5</v>
      </c>
      <c r="C8" s="188"/>
      <c r="D8" s="176"/>
      <c r="E8" s="178">
        <f>SUM(E5:E7)</f>
      </c>
      <c r="F8" s="183"/>
      <c r="G8" s="1"/>
      <c r="H8" s="40"/>
      <c r="I8" s="3"/>
      <c r="J8" s="3"/>
      <c r="K8" s="183"/>
      <c r="L8" s="1"/>
      <c r="M8" s="40"/>
      <c r="N8" s="3"/>
      <c r="O8" s="3"/>
      <c r="P8" s="1"/>
      <c r="Q8" s="161" t="s">
        <v>547</v>
      </c>
      <c r="R8" s="178">
        <v>12</v>
      </c>
      <c r="S8" s="178">
        <v>0</v>
      </c>
      <c r="T8" s="178">
        <f>R8-S8</f>
      </c>
      <c r="U8" s="179">
        <v>15</v>
      </c>
    </row>
    <row x14ac:dyDescent="0.25" r="9" customHeight="1" ht="18.75">
      <c r="A9" s="40"/>
      <c r="B9" s="1"/>
      <c r="C9" s="40"/>
      <c r="D9" s="3"/>
      <c r="E9" s="3"/>
      <c r="F9" s="183"/>
      <c r="G9" s="1"/>
      <c r="H9" s="40"/>
      <c r="I9" s="3"/>
      <c r="J9" s="3"/>
      <c r="K9" s="183"/>
      <c r="L9" s="1"/>
      <c r="M9" s="40"/>
      <c r="N9" s="3"/>
      <c r="O9" s="3"/>
      <c r="P9" s="1"/>
      <c r="Q9" s="161" t="s">
        <v>548</v>
      </c>
      <c r="R9" s="178">
        <v>12</v>
      </c>
      <c r="S9" s="178">
        <v>0</v>
      </c>
      <c r="T9" s="178">
        <f>R9-S9</f>
      </c>
      <c r="U9" s="179">
        <v>15</v>
      </c>
    </row>
    <row x14ac:dyDescent="0.25" r="10" customHeight="1" ht="18.75">
      <c r="A10" s="40"/>
      <c r="B10" s="1"/>
      <c r="C10" s="40"/>
      <c r="D10" s="3"/>
      <c r="E10" s="3"/>
      <c r="F10" s="1"/>
      <c r="G10" s="1"/>
      <c r="H10" s="40"/>
      <c r="I10" s="3"/>
      <c r="J10" s="3"/>
      <c r="K10" s="1"/>
      <c r="L10" s="1"/>
      <c r="M10" s="40"/>
      <c r="N10" s="3"/>
      <c r="O10" s="3"/>
      <c r="P10" s="1"/>
      <c r="Q10" s="161" t="s">
        <v>549</v>
      </c>
      <c r="R10" s="178">
        <v>10</v>
      </c>
      <c r="S10" s="178">
        <f>(E32/U10)+J5</f>
      </c>
      <c r="T10" s="178">
        <f>R10-S10</f>
      </c>
      <c r="U10" s="179">
        <v>26</v>
      </c>
    </row>
    <row x14ac:dyDescent="0.25" r="11" customHeight="1" ht="18.75">
      <c r="A11" s="40"/>
      <c r="B11" s="1"/>
      <c r="C11" s="40"/>
      <c r="D11" s="3"/>
      <c r="E11" s="3"/>
      <c r="F11" s="1"/>
      <c r="G11" s="1"/>
      <c r="H11" s="40"/>
      <c r="I11" s="3"/>
      <c r="J11" s="3"/>
      <c r="K11" s="1"/>
      <c r="L11" s="1"/>
      <c r="M11" s="40"/>
      <c r="N11" s="3"/>
      <c r="O11" s="3"/>
      <c r="P11" s="1"/>
      <c r="Q11" s="161" t="s">
        <v>550</v>
      </c>
      <c r="R11" s="178">
        <v>10</v>
      </c>
      <c r="S11" s="178">
        <f>(J36/U11)+J5</f>
      </c>
      <c r="T11" s="178">
        <f>R11-S11</f>
      </c>
      <c r="U11" s="179">
        <v>78</v>
      </c>
    </row>
    <row x14ac:dyDescent="0.25" r="12" customHeight="1" ht="18.75">
      <c r="A12" s="40"/>
      <c r="B12" s="1"/>
      <c r="C12" s="40"/>
      <c r="D12" s="3"/>
      <c r="E12" s="3"/>
      <c r="F12" s="1"/>
      <c r="G12" s="1"/>
      <c r="H12" s="40"/>
      <c r="I12" s="3"/>
      <c r="J12" s="3"/>
      <c r="K12" s="1"/>
      <c r="L12" s="1"/>
      <c r="M12" s="40"/>
      <c r="N12" s="3"/>
      <c r="O12" s="3"/>
      <c r="P12" s="1"/>
      <c r="Q12" s="161" t="s">
        <v>551</v>
      </c>
      <c r="R12" s="178">
        <v>10</v>
      </c>
      <c r="S12" s="178">
        <f>O35/U12+J5</f>
      </c>
      <c r="T12" s="178">
        <f>R12-S12</f>
      </c>
      <c r="U12" s="179">
        <v>78</v>
      </c>
    </row>
    <row x14ac:dyDescent="0.25" r="13" customHeight="1" ht="18.75">
      <c r="A13" s="40"/>
      <c r="B13" s="189" t="s">
        <v>552</v>
      </c>
      <c r="C13" s="190"/>
      <c r="D13" s="191"/>
      <c r="E13" s="191"/>
      <c r="F13" s="174" t="s">
        <v>553</v>
      </c>
      <c r="G13" s="192" t="s">
        <v>554</v>
      </c>
      <c r="H13" s="193"/>
      <c r="I13" s="194"/>
      <c r="J13" s="194"/>
      <c r="K13" s="1"/>
      <c r="L13" s="195" t="s">
        <v>555</v>
      </c>
      <c r="M13" s="196"/>
      <c r="N13" s="197"/>
      <c r="O13" s="197"/>
      <c r="P13" s="1"/>
      <c r="Q13" s="161" t="s">
        <v>78</v>
      </c>
      <c r="R13" s="178">
        <v>12</v>
      </c>
      <c r="S13" s="178">
        <v>1.59</v>
      </c>
      <c r="T13" s="178">
        <f>R13-S13</f>
      </c>
      <c r="U13" s="179">
        <v>15</v>
      </c>
    </row>
    <row x14ac:dyDescent="0.25" r="14" customHeight="1" ht="18.75">
      <c r="A14" s="40"/>
      <c r="B14" s="175" t="s">
        <v>556</v>
      </c>
      <c r="C14" s="188" t="s">
        <v>557</v>
      </c>
      <c r="D14" s="176" t="s">
        <v>558</v>
      </c>
      <c r="E14" s="176" t="s">
        <v>5</v>
      </c>
      <c r="F14" s="1"/>
      <c r="G14" s="175" t="s">
        <v>556</v>
      </c>
      <c r="H14" s="188" t="s">
        <v>557</v>
      </c>
      <c r="I14" s="176" t="s">
        <v>558</v>
      </c>
      <c r="J14" s="176" t="s">
        <v>5</v>
      </c>
      <c r="K14" s="174" t="s">
        <v>553</v>
      </c>
      <c r="L14" s="175" t="s">
        <v>556</v>
      </c>
      <c r="M14" s="188" t="s">
        <v>557</v>
      </c>
      <c r="N14" s="176" t="s">
        <v>558</v>
      </c>
      <c r="O14" s="176" t="s">
        <v>5</v>
      </c>
      <c r="P14" s="1"/>
      <c r="Q14" s="161" t="s">
        <v>72</v>
      </c>
      <c r="R14" s="178">
        <v>10</v>
      </c>
      <c r="S14" s="178">
        <v>1.9</v>
      </c>
      <c r="T14" s="178">
        <f>R14-S14</f>
      </c>
      <c r="U14" s="179">
        <v>15</v>
      </c>
    </row>
    <row x14ac:dyDescent="0.25" r="15" customHeight="1" ht="18.75">
      <c r="A15" s="40"/>
      <c r="B15" s="161" t="s">
        <v>559</v>
      </c>
      <c r="C15" s="187">
        <v>2</v>
      </c>
      <c r="D15" s="178">
        <v>4.3</v>
      </c>
      <c r="E15" s="178">
        <f>D15*C15</f>
      </c>
      <c r="F15" s="1"/>
      <c r="G15" s="161" t="s">
        <v>560</v>
      </c>
      <c r="H15" s="187"/>
      <c r="I15" s="178"/>
      <c r="J15" s="178"/>
      <c r="K15" s="1"/>
      <c r="L15" s="161" t="s">
        <v>559</v>
      </c>
      <c r="M15" s="187">
        <v>2</v>
      </c>
      <c r="N15" s="178">
        <v>4.3</v>
      </c>
      <c r="O15" s="178">
        <f>N15*M15</f>
      </c>
      <c r="P15" s="1"/>
      <c r="Q15" s="161" t="s">
        <v>561</v>
      </c>
      <c r="R15" s="178">
        <v>12</v>
      </c>
      <c r="S15" s="178">
        <v>0</v>
      </c>
      <c r="T15" s="178">
        <f>R15-S15</f>
      </c>
      <c r="U15" s="179">
        <v>15</v>
      </c>
    </row>
    <row x14ac:dyDescent="0.25" r="16" customHeight="1" ht="18.75">
      <c r="A16" s="40"/>
      <c r="B16" s="161" t="s">
        <v>562</v>
      </c>
      <c r="C16" s="187">
        <v>2</v>
      </c>
      <c r="D16" s="178">
        <v>2.59</v>
      </c>
      <c r="E16" s="178">
        <f>D16*C16</f>
      </c>
      <c r="F16" s="1"/>
      <c r="G16" s="161" t="s">
        <v>563</v>
      </c>
      <c r="H16" s="187"/>
      <c r="I16" s="178"/>
      <c r="J16" s="178"/>
      <c r="K16" s="1"/>
      <c r="L16" s="161" t="s">
        <v>562</v>
      </c>
      <c r="M16" s="187">
        <v>2</v>
      </c>
      <c r="N16" s="178">
        <v>2.59</v>
      </c>
      <c r="O16" s="178">
        <f>N16*M16</f>
      </c>
      <c r="P16" s="1"/>
      <c r="Q16" s="198" t="s">
        <v>154</v>
      </c>
      <c r="R16" s="199">
        <v>42.9</v>
      </c>
      <c r="S16" s="178">
        <f>5.52+O5</f>
      </c>
      <c r="T16" s="178">
        <f>R16-S16</f>
      </c>
      <c r="U16" s="179">
        <v>1</v>
      </c>
    </row>
    <row x14ac:dyDescent="0.25" r="17" customHeight="1" ht="18.75">
      <c r="A17" s="40"/>
      <c r="B17" s="161" t="s">
        <v>564</v>
      </c>
      <c r="C17" s="179">
        <v>20</v>
      </c>
      <c r="D17" s="178">
        <v>11.89</v>
      </c>
      <c r="E17" s="178">
        <f>(C17*D17)/1000</f>
      </c>
      <c r="F17" s="1"/>
      <c r="G17" s="161" t="s">
        <v>565</v>
      </c>
      <c r="H17" s="187"/>
      <c r="I17" s="178"/>
      <c r="J17" s="178"/>
      <c r="K17" s="1"/>
      <c r="L17" s="161" t="s">
        <v>564</v>
      </c>
      <c r="M17" s="187">
        <v>20</v>
      </c>
      <c r="N17" s="178">
        <v>11.89</v>
      </c>
      <c r="O17" s="178">
        <f>(M17*N17)/1000</f>
      </c>
      <c r="P17" s="1"/>
      <c r="Q17" s="198" t="s">
        <v>566</v>
      </c>
      <c r="R17" s="178">
        <v>42.9</v>
      </c>
      <c r="S17" s="178">
        <f>4.77+O5</f>
      </c>
      <c r="T17" s="178">
        <f>R17-S17</f>
      </c>
      <c r="U17" s="179">
        <v>1</v>
      </c>
    </row>
    <row x14ac:dyDescent="0.25" r="18" customHeight="1" ht="18.75">
      <c r="A18" s="40"/>
      <c r="B18" s="161" t="s">
        <v>567</v>
      </c>
      <c r="C18" s="179">
        <v>50</v>
      </c>
      <c r="D18" s="178">
        <v>29.9</v>
      </c>
      <c r="E18" s="178">
        <f>(C18*D18)/1000</f>
      </c>
      <c r="F18" s="1"/>
      <c r="G18" s="161" t="s">
        <v>564</v>
      </c>
      <c r="H18" s="187"/>
      <c r="I18" s="178"/>
      <c r="J18" s="178"/>
      <c r="K18" s="1"/>
      <c r="L18" s="161" t="s">
        <v>568</v>
      </c>
      <c r="M18" s="187">
        <v>40</v>
      </c>
      <c r="N18" s="178">
        <v>37.25</v>
      </c>
      <c r="O18" s="178">
        <f>(M18*N18)/1000</f>
      </c>
      <c r="P18" s="1"/>
      <c r="Q18" s="198" t="s">
        <v>167</v>
      </c>
      <c r="R18" s="178">
        <v>42.9</v>
      </c>
      <c r="S18" s="178">
        <v>0</v>
      </c>
      <c r="T18" s="178">
        <f>R18-S18</f>
      </c>
      <c r="U18" s="179">
        <v>1</v>
      </c>
    </row>
    <row x14ac:dyDescent="0.25" r="19" customHeight="1" ht="18.75">
      <c r="A19" s="40"/>
      <c r="B19" s="175" t="s">
        <v>5</v>
      </c>
      <c r="C19" s="188"/>
      <c r="D19" s="176"/>
      <c r="E19" s="178">
        <f>SUM(E15:E19)</f>
      </c>
      <c r="F19" s="1"/>
      <c r="G19" s="161"/>
      <c r="H19" s="187"/>
      <c r="I19" s="178"/>
      <c r="J19" s="178"/>
      <c r="K19" s="1"/>
      <c r="L19" s="161" t="s">
        <v>569</v>
      </c>
      <c r="M19" s="187">
        <v>1</v>
      </c>
      <c r="N19" s="178">
        <v>9.9</v>
      </c>
      <c r="O19" s="178">
        <f>M19*N19</f>
      </c>
      <c r="P19" s="1"/>
      <c r="Q19" s="198" t="s">
        <v>570</v>
      </c>
      <c r="R19" s="178">
        <v>42.9</v>
      </c>
      <c r="S19" s="178">
        <f>5.92+O5</f>
      </c>
      <c r="T19" s="178">
        <f>R19-S19</f>
      </c>
      <c r="U19" s="179">
        <v>1</v>
      </c>
    </row>
    <row x14ac:dyDescent="0.25" r="20" customHeight="1" ht="18.75">
      <c r="A20" s="40"/>
      <c r="B20" s="1"/>
      <c r="C20" s="40"/>
      <c r="D20" s="3"/>
      <c r="E20" s="3"/>
      <c r="F20" s="1"/>
      <c r="G20" s="1"/>
      <c r="H20" s="40"/>
      <c r="I20" s="3"/>
      <c r="J20" s="3"/>
      <c r="K20" s="1"/>
      <c r="L20" s="175" t="s">
        <v>5</v>
      </c>
      <c r="M20" s="188"/>
      <c r="N20" s="176"/>
      <c r="O20" s="178">
        <f>SUM(O15:O19)</f>
      </c>
      <c r="P20" s="1"/>
      <c r="Q20" s="200" t="s">
        <v>571</v>
      </c>
      <c r="R20" s="178">
        <v>62.9</v>
      </c>
      <c r="S20" s="178">
        <f>7.71+O5</f>
      </c>
      <c r="T20" s="178">
        <f>R20-S20</f>
      </c>
      <c r="U20" s="179">
        <v>1</v>
      </c>
    </row>
    <row x14ac:dyDescent="0.25" r="21" customHeight="1" ht="18.75">
      <c r="A21" s="40"/>
      <c r="B21" s="1"/>
      <c r="C21" s="40"/>
      <c r="D21" s="3"/>
      <c r="E21" s="3"/>
      <c r="F21" s="1"/>
      <c r="G21" s="1"/>
      <c r="H21" s="40"/>
      <c r="I21" s="3"/>
      <c r="J21" s="3"/>
      <c r="K21" s="1"/>
      <c r="L21" s="1"/>
      <c r="M21" s="40"/>
      <c r="N21" s="3"/>
      <c r="O21" s="3"/>
      <c r="P21" s="1"/>
      <c r="Q21" s="200" t="s">
        <v>572</v>
      </c>
      <c r="R21" s="178">
        <v>62.9</v>
      </c>
      <c r="S21" s="178">
        <f>6.55+5</f>
      </c>
      <c r="T21" s="178">
        <f>R21-S21</f>
      </c>
      <c r="U21" s="179">
        <v>1</v>
      </c>
    </row>
    <row x14ac:dyDescent="0.25" r="22" customHeight="1" ht="18.75">
      <c r="A22" s="40"/>
      <c r="B22" s="1"/>
      <c r="C22" s="40"/>
      <c r="D22" s="3"/>
      <c r="E22" s="3"/>
      <c r="F22" s="1"/>
      <c r="G22" s="1"/>
      <c r="H22" s="40"/>
      <c r="I22" s="3"/>
      <c r="J22" s="3"/>
      <c r="K22" s="1"/>
      <c r="L22" s="1"/>
      <c r="M22" s="40"/>
      <c r="N22" s="3"/>
      <c r="O22" s="3"/>
      <c r="P22" s="1"/>
      <c r="Q22" s="200" t="s">
        <v>151</v>
      </c>
      <c r="R22" s="178">
        <v>62.9</v>
      </c>
      <c r="S22" s="178">
        <v>0</v>
      </c>
      <c r="T22" s="178">
        <f>R22-S22</f>
      </c>
      <c r="U22" s="179">
        <v>1</v>
      </c>
    </row>
    <row x14ac:dyDescent="0.25" r="23" customHeight="1" ht="18.75">
      <c r="A23" s="40"/>
      <c r="B23" s="201" t="s">
        <v>573</v>
      </c>
      <c r="C23" s="202"/>
      <c r="D23" s="203"/>
      <c r="E23" s="204"/>
      <c r="F23" s="1"/>
      <c r="G23" s="205" t="s">
        <v>550</v>
      </c>
      <c r="H23" s="206"/>
      <c r="I23" s="207"/>
      <c r="J23" s="208"/>
      <c r="K23" s="1"/>
      <c r="L23" s="209" t="s">
        <v>551</v>
      </c>
      <c r="M23" s="210"/>
      <c r="N23" s="211"/>
      <c r="O23" s="212"/>
      <c r="P23" s="1"/>
      <c r="Q23" s="200" t="s">
        <v>574</v>
      </c>
      <c r="R23" s="178">
        <v>62.9</v>
      </c>
      <c r="S23" s="178">
        <f>7.88+O5</f>
      </c>
      <c r="T23" s="178">
        <f>R23-S23</f>
      </c>
      <c r="U23" s="179">
        <v>1</v>
      </c>
    </row>
    <row x14ac:dyDescent="0.25" r="24" customHeight="1" ht="18.75">
      <c r="A24" s="40"/>
      <c r="B24" s="175" t="s">
        <v>556</v>
      </c>
      <c r="C24" s="188" t="s">
        <v>557</v>
      </c>
      <c r="D24" s="176" t="s">
        <v>558</v>
      </c>
      <c r="E24" s="176" t="s">
        <v>5</v>
      </c>
      <c r="F24" s="1"/>
      <c r="G24" s="175" t="s">
        <v>556</v>
      </c>
      <c r="H24" s="188" t="s">
        <v>557</v>
      </c>
      <c r="I24" s="176" t="s">
        <v>558</v>
      </c>
      <c r="J24" s="176" t="s">
        <v>5</v>
      </c>
      <c r="K24" s="1"/>
      <c r="L24" s="175" t="s">
        <v>556</v>
      </c>
      <c r="M24" s="188" t="s">
        <v>557</v>
      </c>
      <c r="N24" s="176" t="s">
        <v>558</v>
      </c>
      <c r="O24" s="176" t="s">
        <v>5</v>
      </c>
      <c r="P24" s="1"/>
      <c r="Q24" s="213" t="s">
        <v>575</v>
      </c>
      <c r="R24" s="178">
        <v>82.9</v>
      </c>
      <c r="S24" s="178">
        <f>10.85+O5</f>
      </c>
      <c r="T24" s="178">
        <f>R24-S24</f>
      </c>
      <c r="U24" s="179">
        <v>1</v>
      </c>
    </row>
    <row x14ac:dyDescent="0.25" r="25" customHeight="1" ht="18.75">
      <c r="A25" s="40"/>
      <c r="B25" s="161" t="s">
        <v>559</v>
      </c>
      <c r="C25" s="187">
        <v>2</v>
      </c>
      <c r="D25" s="178">
        <v>4.3</v>
      </c>
      <c r="E25" s="178">
        <f>C25*D25</f>
      </c>
      <c r="F25" s="1"/>
      <c r="G25" s="161" t="s">
        <v>559</v>
      </c>
      <c r="H25" s="187">
        <v>6</v>
      </c>
      <c r="I25" s="178">
        <v>4.3</v>
      </c>
      <c r="J25" s="178">
        <f>H25*I25</f>
      </c>
      <c r="K25" s="1"/>
      <c r="L25" s="161" t="s">
        <v>559</v>
      </c>
      <c r="M25" s="187">
        <v>6</v>
      </c>
      <c r="N25" s="178">
        <v>4.3</v>
      </c>
      <c r="O25" s="178">
        <f>M25*N25</f>
      </c>
      <c r="P25" s="1"/>
      <c r="Q25" s="213" t="s">
        <v>157</v>
      </c>
      <c r="R25" s="178">
        <v>82.9</v>
      </c>
      <c r="S25" s="178">
        <f>10.26+O5</f>
      </c>
      <c r="T25" s="178">
        <f>R25-S25</f>
      </c>
      <c r="U25" s="179">
        <v>1</v>
      </c>
    </row>
    <row x14ac:dyDescent="0.25" r="26" customHeight="1" ht="18.75">
      <c r="A26" s="40"/>
      <c r="B26" s="161" t="s">
        <v>562</v>
      </c>
      <c r="C26" s="187">
        <v>2</v>
      </c>
      <c r="D26" s="178">
        <v>2.59</v>
      </c>
      <c r="E26" s="178">
        <f>D26*C26</f>
      </c>
      <c r="F26" s="1"/>
      <c r="G26" s="161" t="s">
        <v>562</v>
      </c>
      <c r="H26" s="187">
        <v>6</v>
      </c>
      <c r="I26" s="178">
        <v>2.59</v>
      </c>
      <c r="J26" s="178">
        <f>I26*H26</f>
      </c>
      <c r="K26" s="1"/>
      <c r="L26" s="161" t="s">
        <v>562</v>
      </c>
      <c r="M26" s="187">
        <v>6</v>
      </c>
      <c r="N26" s="178">
        <v>2.59</v>
      </c>
      <c r="O26" s="178">
        <f>N26*M26</f>
      </c>
      <c r="P26" s="1"/>
      <c r="Q26" s="213" t="s">
        <v>576</v>
      </c>
      <c r="R26" s="178">
        <v>82.9</v>
      </c>
      <c r="S26" s="178">
        <v>0</v>
      </c>
      <c r="T26" s="178">
        <f>R26-S26</f>
      </c>
      <c r="U26" s="179">
        <v>1</v>
      </c>
    </row>
    <row x14ac:dyDescent="0.25" r="27" customHeight="1" ht="18.75">
      <c r="A27" s="40"/>
      <c r="B27" s="161" t="s">
        <v>564</v>
      </c>
      <c r="C27" s="179">
        <v>65</v>
      </c>
      <c r="D27" s="178">
        <v>11.89</v>
      </c>
      <c r="E27" s="178">
        <f>(C27*D27)/1000</f>
      </c>
      <c r="F27" s="1"/>
      <c r="G27" s="161" t="s">
        <v>564</v>
      </c>
      <c r="H27" s="179">
        <v>65</v>
      </c>
      <c r="I27" s="178">
        <v>11.89</v>
      </c>
      <c r="J27" s="178">
        <f>(H27*I27)/1000</f>
      </c>
      <c r="K27" s="1"/>
      <c r="L27" s="161" t="s">
        <v>564</v>
      </c>
      <c r="M27" s="179">
        <v>65</v>
      </c>
      <c r="N27" s="178">
        <v>11.89</v>
      </c>
      <c r="O27" s="178">
        <f>(M27*N27)/1000</f>
      </c>
      <c r="P27" s="1"/>
      <c r="Q27" s="213" t="s">
        <v>577</v>
      </c>
      <c r="R27" s="178">
        <v>82.9</v>
      </c>
      <c r="S27" s="178">
        <f>10.83+O5</f>
      </c>
      <c r="T27" s="178">
        <f>R27-S27</f>
      </c>
      <c r="U27" s="179">
        <v>1</v>
      </c>
    </row>
    <row x14ac:dyDescent="0.25" r="28" customHeight="1" ht="18.75">
      <c r="A28" s="40"/>
      <c r="B28" s="161" t="s">
        <v>578</v>
      </c>
      <c r="C28" s="179">
        <v>120</v>
      </c>
      <c r="D28" s="178">
        <v>47.3</v>
      </c>
      <c r="E28" s="178">
        <f>(C28*D28)/1000</f>
      </c>
      <c r="F28" s="1"/>
      <c r="G28" s="161" t="s">
        <v>578</v>
      </c>
      <c r="H28" s="179">
        <v>120</v>
      </c>
      <c r="I28" s="178">
        <v>47.3</v>
      </c>
      <c r="J28" s="178">
        <f>(H28*I28)/1000</f>
      </c>
      <c r="K28" s="1"/>
      <c r="L28" s="161" t="s">
        <v>578</v>
      </c>
      <c r="M28" s="179">
        <v>120</v>
      </c>
      <c r="N28" s="178">
        <v>47.3</v>
      </c>
      <c r="O28" s="178">
        <f>(M28*N28)/1000</f>
      </c>
      <c r="P28" s="1"/>
      <c r="Q28" s="198" t="s">
        <v>168</v>
      </c>
      <c r="R28" s="178">
        <v>44.9</v>
      </c>
      <c r="S28" s="178">
        <f>7+O5</f>
      </c>
      <c r="T28" s="178">
        <f>R28-S28</f>
      </c>
      <c r="U28" s="179">
        <v>1</v>
      </c>
    </row>
    <row x14ac:dyDescent="0.25" r="29" customHeight="1" ht="18.75">
      <c r="A29" s="40"/>
      <c r="B29" s="161" t="s">
        <v>579</v>
      </c>
      <c r="C29" s="179">
        <v>240</v>
      </c>
      <c r="D29" s="178">
        <v>5.15</v>
      </c>
      <c r="E29" s="178">
        <f>(C29*D29)/1000</f>
      </c>
      <c r="F29" s="1"/>
      <c r="G29" s="161" t="s">
        <v>579</v>
      </c>
      <c r="H29" s="179">
        <v>240</v>
      </c>
      <c r="I29" s="178">
        <v>5.15</v>
      </c>
      <c r="J29" s="178">
        <f>(H29*I29)/1000</f>
      </c>
      <c r="K29" s="1"/>
      <c r="L29" s="161" t="s">
        <v>579</v>
      </c>
      <c r="M29" s="179">
        <v>240</v>
      </c>
      <c r="N29" s="178">
        <v>5.15</v>
      </c>
      <c r="O29" s="178">
        <f>(M29*N29)/1000</f>
      </c>
      <c r="P29" s="1"/>
      <c r="Q29" s="198" t="s">
        <v>155</v>
      </c>
      <c r="R29" s="178">
        <v>44.9</v>
      </c>
      <c r="S29" s="178">
        <f>5.06+O5</f>
      </c>
      <c r="T29" s="178">
        <f>R29-S29</f>
      </c>
      <c r="U29" s="179">
        <v>1</v>
      </c>
    </row>
    <row x14ac:dyDescent="0.25" r="30" customHeight="1" ht="18.75">
      <c r="A30" s="40"/>
      <c r="B30" s="161" t="s">
        <v>567</v>
      </c>
      <c r="C30" s="179">
        <v>50</v>
      </c>
      <c r="D30" s="178">
        <v>29.9</v>
      </c>
      <c r="E30" s="178">
        <f>(C30*D30)/1000</f>
      </c>
      <c r="F30" s="1"/>
      <c r="G30" s="161" t="s">
        <v>72</v>
      </c>
      <c r="H30" s="187">
        <v>3</v>
      </c>
      <c r="I30" s="178">
        <v>3.89</v>
      </c>
      <c r="J30" s="178">
        <f>H30*I30</f>
      </c>
      <c r="K30" s="1"/>
      <c r="L30" s="161" t="s">
        <v>72</v>
      </c>
      <c r="M30" s="187">
        <v>3</v>
      </c>
      <c r="N30" s="178">
        <v>3.89</v>
      </c>
      <c r="O30" s="178">
        <f>M30*N30</f>
      </c>
      <c r="P30" s="1"/>
      <c r="Q30" s="200" t="s">
        <v>580</v>
      </c>
      <c r="R30" s="178">
        <v>64.9</v>
      </c>
      <c r="S30" s="178">
        <f>8.92+O5</f>
      </c>
      <c r="T30" s="178">
        <f>R30-S30</f>
      </c>
      <c r="U30" s="179">
        <v>1</v>
      </c>
    </row>
    <row x14ac:dyDescent="0.25" r="31" customHeight="1" ht="18.75">
      <c r="A31" s="40"/>
      <c r="B31" s="161" t="s">
        <v>72</v>
      </c>
      <c r="C31" s="187">
        <v>1</v>
      </c>
      <c r="D31" s="178">
        <v>3.89</v>
      </c>
      <c r="E31" s="178">
        <f>C31*D31</f>
      </c>
      <c r="F31" s="1"/>
      <c r="G31" s="161" t="s">
        <v>581</v>
      </c>
      <c r="H31" s="179">
        <v>2</v>
      </c>
      <c r="I31" s="178">
        <v>0.58</v>
      </c>
      <c r="J31" s="178">
        <f>I31*H31</f>
      </c>
      <c r="K31" s="1"/>
      <c r="L31" s="161" t="s">
        <v>581</v>
      </c>
      <c r="M31" s="179">
        <v>2</v>
      </c>
      <c r="N31" s="178">
        <v>0.58</v>
      </c>
      <c r="O31" s="178">
        <f>N31*M31</f>
      </c>
      <c r="P31" s="1"/>
      <c r="Q31" s="200" t="s">
        <v>582</v>
      </c>
      <c r="R31" s="178">
        <v>64.9</v>
      </c>
      <c r="S31" s="178">
        <f>7.02+O5</f>
      </c>
      <c r="T31" s="178">
        <f>R31-S31</f>
      </c>
      <c r="U31" s="179">
        <v>1</v>
      </c>
    </row>
    <row x14ac:dyDescent="0.25" r="32" customHeight="1" ht="18.75">
      <c r="A32" s="40"/>
      <c r="B32" s="175" t="s">
        <v>5</v>
      </c>
      <c r="C32" s="188"/>
      <c r="D32" s="176"/>
      <c r="E32" s="178">
        <f>SUM(E25:E31)</f>
      </c>
      <c r="F32" s="1"/>
      <c r="G32" s="161" t="s">
        <v>583</v>
      </c>
      <c r="H32" s="187">
        <v>5</v>
      </c>
      <c r="I32" s="178">
        <v>48.5</v>
      </c>
      <c r="J32" s="178">
        <f>(H32*I32)/1000</f>
      </c>
      <c r="K32" s="1"/>
      <c r="L32" s="161" t="s">
        <v>583</v>
      </c>
      <c r="M32" s="187">
        <v>5</v>
      </c>
      <c r="N32" s="178">
        <v>48.5</v>
      </c>
      <c r="O32" s="178">
        <f>(M32*N32)/1000</f>
      </c>
      <c r="P32" s="1"/>
      <c r="Q32" s="213" t="s">
        <v>584</v>
      </c>
      <c r="R32" s="178">
        <v>84.9</v>
      </c>
      <c r="S32" s="178">
        <f>12.7+O5</f>
      </c>
      <c r="T32" s="178">
        <f>R32-S32</f>
      </c>
      <c r="U32" s="179">
        <v>1</v>
      </c>
    </row>
    <row x14ac:dyDescent="0.25" r="33" customHeight="1" ht="18.75">
      <c r="A33" s="40"/>
      <c r="B33" s="1"/>
      <c r="C33" s="40"/>
      <c r="D33" s="3"/>
      <c r="E33" s="3"/>
      <c r="F33" s="1"/>
      <c r="G33" s="161" t="s">
        <v>567</v>
      </c>
      <c r="H33" s="179">
        <v>50</v>
      </c>
      <c r="I33" s="178">
        <v>29.9</v>
      </c>
      <c r="J33" s="178">
        <f>(H33*I33)/1000</f>
      </c>
      <c r="K33" s="1"/>
      <c r="L33" s="161" t="s">
        <v>567</v>
      </c>
      <c r="M33" s="179">
        <v>50</v>
      </c>
      <c r="N33" s="178">
        <v>29.9</v>
      </c>
      <c r="O33" s="178">
        <f>(M33*N33)/1000</f>
      </c>
      <c r="P33" s="1"/>
      <c r="Q33" s="213" t="s">
        <v>585</v>
      </c>
      <c r="R33" s="178">
        <v>84.9</v>
      </c>
      <c r="S33" s="178">
        <f>9.97+O5</f>
      </c>
      <c r="T33" s="178">
        <f>R33-S33</f>
      </c>
      <c r="U33" s="179">
        <v>1</v>
      </c>
    </row>
    <row x14ac:dyDescent="0.25" r="34" customHeight="1" ht="18.75">
      <c r="A34" s="40"/>
      <c r="B34" s="1"/>
      <c r="C34" s="40"/>
      <c r="D34" s="3"/>
      <c r="E34" s="3"/>
      <c r="F34" s="1"/>
      <c r="G34" s="161" t="s">
        <v>586</v>
      </c>
      <c r="H34" s="187">
        <v>200</v>
      </c>
      <c r="I34" s="178">
        <v>11.89</v>
      </c>
      <c r="J34" s="178">
        <f>(H34*I34)/1000</f>
      </c>
      <c r="K34" s="1"/>
      <c r="L34" s="161" t="s">
        <v>587</v>
      </c>
      <c r="M34" s="187">
        <v>30</v>
      </c>
      <c r="N34" s="178">
        <v>25.9</v>
      </c>
      <c r="O34" s="178">
        <f>(M34*N34)/1000</f>
      </c>
      <c r="P34" s="1"/>
      <c r="Q34" s="198" t="s">
        <v>588</v>
      </c>
      <c r="R34" s="178">
        <v>49.9</v>
      </c>
      <c r="S34" s="178">
        <v>0</v>
      </c>
      <c r="T34" s="178">
        <f>R34-S34</f>
      </c>
      <c r="U34" s="179">
        <v>1</v>
      </c>
    </row>
    <row x14ac:dyDescent="0.25" r="35" customHeight="1" ht="18.75">
      <c r="A35" s="40"/>
      <c r="B35" s="1"/>
      <c r="C35" s="40"/>
      <c r="D35" s="3"/>
      <c r="E35" s="3"/>
      <c r="F35" s="1"/>
      <c r="G35" s="161" t="s">
        <v>589</v>
      </c>
      <c r="H35" s="187">
        <v>200</v>
      </c>
      <c r="I35" s="178">
        <v>4.09</v>
      </c>
      <c r="J35" s="178">
        <f>(H35*I35)/1000</f>
      </c>
      <c r="K35" s="1"/>
      <c r="L35" s="175" t="s">
        <v>5</v>
      </c>
      <c r="M35" s="188"/>
      <c r="N35" s="176"/>
      <c r="O35" s="178">
        <f>SUM(O25:O34)</f>
      </c>
      <c r="P35" s="1"/>
      <c r="Q35" s="198" t="s">
        <v>590</v>
      </c>
      <c r="R35" s="178">
        <v>49.9</v>
      </c>
      <c r="S35" s="178">
        <v>0</v>
      </c>
      <c r="T35" s="178">
        <f>R35-S35</f>
      </c>
      <c r="U35" s="179">
        <v>1</v>
      </c>
    </row>
    <row x14ac:dyDescent="0.25" r="36" customHeight="1" ht="18.75">
      <c r="A36" s="40"/>
      <c r="B36" s="1"/>
      <c r="C36" s="40"/>
      <c r="D36" s="3"/>
      <c r="E36" s="3"/>
      <c r="F36" s="1"/>
      <c r="G36" s="175" t="s">
        <v>5</v>
      </c>
      <c r="H36" s="188"/>
      <c r="I36" s="176"/>
      <c r="J36" s="178">
        <f>SUM(J25:J35)</f>
      </c>
      <c r="K36" s="1"/>
      <c r="L36" s="1"/>
      <c r="M36" s="40"/>
      <c r="N36" s="3"/>
      <c r="O36" s="3"/>
      <c r="P36" s="1"/>
      <c r="Q36" s="198" t="s">
        <v>156</v>
      </c>
      <c r="R36" s="178">
        <v>49.9</v>
      </c>
      <c r="S36" s="178">
        <v>0</v>
      </c>
      <c r="T36" s="178">
        <f>R36-S36</f>
      </c>
      <c r="U36" s="179">
        <v>1</v>
      </c>
    </row>
    <row x14ac:dyDescent="0.25" r="37" customHeight="1" ht="18.75">
      <c r="A37" s="40"/>
      <c r="B37" s="1"/>
      <c r="C37" s="40"/>
      <c r="D37" s="3"/>
      <c r="E37" s="3"/>
      <c r="F37" s="1"/>
      <c r="G37" s="1"/>
      <c r="H37" s="40"/>
      <c r="I37" s="3"/>
      <c r="J37" s="3"/>
      <c r="K37" s="1"/>
      <c r="L37" s="1"/>
      <c r="M37" s="40"/>
      <c r="N37" s="3"/>
      <c r="O37" s="3"/>
      <c r="P37" s="1"/>
      <c r="Q37" s="200" t="s">
        <v>591</v>
      </c>
      <c r="R37" s="178">
        <v>69.9</v>
      </c>
      <c r="S37" s="178">
        <v>0</v>
      </c>
      <c r="T37" s="178">
        <f>R37-S37</f>
      </c>
      <c r="U37" s="179">
        <v>1</v>
      </c>
    </row>
    <row x14ac:dyDescent="0.25" r="38" customHeight="1" ht="18.75">
      <c r="A38" s="40"/>
      <c r="B38" s="1"/>
      <c r="C38" s="40"/>
      <c r="D38" s="3"/>
      <c r="E38" s="3"/>
      <c r="F38" s="1"/>
      <c r="G38" s="1"/>
      <c r="H38" s="40"/>
      <c r="I38" s="3"/>
      <c r="J38" s="3"/>
      <c r="K38" s="1"/>
      <c r="L38" s="1"/>
      <c r="M38" s="40"/>
      <c r="N38" s="3"/>
      <c r="O38" s="3"/>
      <c r="P38" s="1"/>
      <c r="Q38" s="200" t="s">
        <v>140</v>
      </c>
      <c r="R38" s="178">
        <v>69.9</v>
      </c>
      <c r="S38" s="178">
        <v>0</v>
      </c>
      <c r="T38" s="178">
        <f>R38-S38</f>
      </c>
      <c r="U38" s="179">
        <v>1</v>
      </c>
    </row>
    <row x14ac:dyDescent="0.25" r="39" customHeight="1" ht="18.75">
      <c r="A39" s="40"/>
      <c r="B39" s="1"/>
      <c r="C39" s="40"/>
      <c r="D39" s="3"/>
      <c r="E39" s="3"/>
      <c r="F39" s="1"/>
      <c r="G39" s="1"/>
      <c r="H39" s="40"/>
      <c r="I39" s="3"/>
      <c r="J39" s="3"/>
      <c r="K39" s="1"/>
      <c r="L39" s="1"/>
      <c r="M39" s="40"/>
      <c r="N39" s="3"/>
      <c r="O39" s="3"/>
      <c r="P39" s="1"/>
      <c r="Q39" s="200" t="s">
        <v>152</v>
      </c>
      <c r="R39" s="178">
        <v>69.9</v>
      </c>
      <c r="S39" s="178">
        <v>0</v>
      </c>
      <c r="T39" s="178">
        <f>R39-S39</f>
      </c>
      <c r="U39" s="179">
        <v>1</v>
      </c>
    </row>
    <row x14ac:dyDescent="0.25" r="40" customHeight="1" ht="18.75">
      <c r="A40" s="40"/>
      <c r="B40" s="1"/>
      <c r="C40" s="40"/>
      <c r="D40" s="3"/>
      <c r="E40" s="3"/>
      <c r="F40" s="1"/>
      <c r="G40" s="1"/>
      <c r="H40" s="40"/>
      <c r="I40" s="3"/>
      <c r="J40" s="3"/>
      <c r="K40" s="1"/>
      <c r="L40" s="1"/>
      <c r="M40" s="40"/>
      <c r="N40" s="3"/>
      <c r="O40" s="3"/>
      <c r="P40" s="1"/>
      <c r="Q40" s="213" t="s">
        <v>592</v>
      </c>
      <c r="R40" s="178">
        <v>99.9</v>
      </c>
      <c r="S40" s="178">
        <v>0</v>
      </c>
      <c r="T40" s="178">
        <f>R40-S40</f>
      </c>
      <c r="U40" s="179">
        <v>1</v>
      </c>
    </row>
    <row x14ac:dyDescent="0.25" r="41" customHeight="1" ht="18.75">
      <c r="A41" s="40"/>
      <c r="B41" s="1"/>
      <c r="C41" s="40"/>
      <c r="D41" s="3"/>
      <c r="E41" s="3"/>
      <c r="F41" s="1"/>
      <c r="G41" s="1"/>
      <c r="H41" s="40"/>
      <c r="I41" s="3"/>
      <c r="J41" s="3"/>
      <c r="K41" s="1"/>
      <c r="L41" s="1"/>
      <c r="M41" s="40"/>
      <c r="N41" s="3"/>
      <c r="O41" s="3"/>
      <c r="P41" s="1"/>
      <c r="Q41" s="213" t="s">
        <v>153</v>
      </c>
      <c r="R41" s="178">
        <v>99.9</v>
      </c>
      <c r="S41" s="178">
        <v>0</v>
      </c>
      <c r="T41" s="178">
        <f>R41-S41</f>
      </c>
      <c r="U41" s="179">
        <v>1</v>
      </c>
    </row>
    <row x14ac:dyDescent="0.25" r="42" customHeight="1" ht="18.75">
      <c r="A42" s="40"/>
      <c r="B42" s="1"/>
      <c r="C42" s="40"/>
      <c r="D42" s="3"/>
      <c r="E42" s="3"/>
      <c r="F42" s="1"/>
      <c r="G42" s="1"/>
      <c r="H42" s="40"/>
      <c r="I42" s="3"/>
      <c r="J42" s="3"/>
      <c r="K42" s="1"/>
      <c r="L42" s="1"/>
      <c r="M42" s="40"/>
      <c r="N42" s="3"/>
      <c r="O42" s="3"/>
      <c r="P42" s="1"/>
      <c r="Q42" s="213" t="s">
        <v>593</v>
      </c>
      <c r="R42" s="178">
        <v>99.9</v>
      </c>
      <c r="S42" s="178">
        <v>0</v>
      </c>
      <c r="T42" s="178">
        <f>R42-S42</f>
      </c>
      <c r="U42" s="179">
        <v>1</v>
      </c>
    </row>
    <row x14ac:dyDescent="0.25" r="43" customHeight="1" ht="18.75">
      <c r="A43" s="40"/>
      <c r="B43" s="1"/>
      <c r="C43" s="40"/>
      <c r="D43" s="3"/>
      <c r="E43" s="3"/>
      <c r="F43" s="1"/>
      <c r="G43" s="1"/>
      <c r="H43" s="40"/>
      <c r="I43" s="3"/>
      <c r="J43" s="3"/>
      <c r="K43" s="1"/>
      <c r="L43" s="1"/>
      <c r="M43" s="40"/>
      <c r="N43" s="3"/>
      <c r="O43" s="3"/>
      <c r="P43" s="1"/>
      <c r="Q43" s="214" t="s">
        <v>109</v>
      </c>
      <c r="R43" s="215">
        <v>12</v>
      </c>
      <c r="S43" s="215">
        <f>(39/U43)</f>
      </c>
      <c r="T43" s="215">
        <f>R43-S43</f>
      </c>
      <c r="U43" s="216">
        <v>31</v>
      </c>
    </row>
    <row x14ac:dyDescent="0.25" r="44" customHeight="1" ht="18.75">
      <c r="A44" s="40"/>
      <c r="B44" s="1"/>
      <c r="C44" s="40"/>
      <c r="D44" s="3"/>
      <c r="E44" s="3"/>
      <c r="F44" s="1"/>
      <c r="G44" s="1"/>
      <c r="H44" s="40"/>
      <c r="I44" s="3"/>
      <c r="J44" s="3"/>
      <c r="K44" s="1"/>
      <c r="L44" s="1"/>
      <c r="M44" s="40"/>
      <c r="N44" s="3"/>
      <c r="O44" s="3"/>
      <c r="P44" s="1"/>
      <c r="Q44" s="217" t="s">
        <v>171</v>
      </c>
      <c r="R44" s="218">
        <v>10</v>
      </c>
      <c r="S44" s="218">
        <v>0</v>
      </c>
      <c r="T44" s="218">
        <v>0</v>
      </c>
      <c r="U44" s="219">
        <v>0</v>
      </c>
    </row>
  </sheetData>
  <mergeCells count="16">
    <mergeCell ref="B1:O1"/>
    <mergeCell ref="B3:E3"/>
    <mergeCell ref="G3:J3"/>
    <mergeCell ref="L3:O3"/>
    <mergeCell ref="B8:D8"/>
    <mergeCell ref="B13:E13"/>
    <mergeCell ref="G13:J13"/>
    <mergeCell ref="L13:O13"/>
    <mergeCell ref="B19:D19"/>
    <mergeCell ref="L20:N20"/>
    <mergeCell ref="B23:E23"/>
    <mergeCell ref="G23:J23"/>
    <mergeCell ref="L23:O23"/>
    <mergeCell ref="B32:D32"/>
    <mergeCell ref="L35:N35"/>
    <mergeCell ref="G36:I3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O619"/>
  <sheetViews>
    <sheetView workbookViewId="0"/>
  </sheetViews>
  <sheetFormatPr defaultRowHeight="15" x14ac:dyDescent="0.25"/>
  <cols>
    <col min="1" max="1" style="69" width="14.576428571428572" customWidth="1" bestFit="1"/>
    <col min="2" max="2" style="11" width="28.719285714285714" customWidth="1" bestFit="1"/>
    <col min="3" max="3" style="70" width="14.862142857142858" customWidth="1" bestFit="1"/>
    <col min="4" max="4" style="70" width="9.43357142857143" customWidth="1" bestFit="1"/>
    <col min="5" max="5" style="11" width="20.005" customWidth="1" bestFit="1"/>
    <col min="6" max="6" style="13" width="20.862142857142857" customWidth="1" bestFit="1"/>
    <col min="7" max="7" style="11" width="33.86214285714286" customWidth="1" bestFit="1"/>
    <col min="8" max="8" style="13" width="11.147857142857141" customWidth="1" bestFit="1"/>
    <col min="9" max="9" style="11" width="16.433571428571426" customWidth="1" bestFit="1"/>
    <col min="10" max="10" style="11" width="27.433571428571426" customWidth="1" bestFit="1"/>
    <col min="11" max="11" style="11" width="70.14785714285713" customWidth="1" bestFit="1"/>
    <col min="12" max="12" style="12" width="12.005" customWidth="1" bestFit="1"/>
    <col min="13" max="13" style="11" width="10.43357142857143" customWidth="1" bestFit="1"/>
    <col min="14" max="14" style="11" width="13.576428571428572" customWidth="1" bestFit="1"/>
    <col min="15" max="15" style="11" width="13.576428571428572" customWidth="1" bestFit="1"/>
  </cols>
  <sheetData>
    <row x14ac:dyDescent="0.25" r="1" customHeight="1" ht="18.75">
      <c r="A1" s="142" t="s">
        <v>63</v>
      </c>
      <c r="B1" s="143" t="s">
        <v>64</v>
      </c>
      <c r="C1" s="144" t="s">
        <v>65</v>
      </c>
      <c r="D1" s="144" t="s">
        <v>53</v>
      </c>
      <c r="E1" s="143" t="s">
        <v>66</v>
      </c>
      <c r="F1" s="145" t="s">
        <v>67</v>
      </c>
      <c r="G1" s="143" t="s">
        <v>68</v>
      </c>
      <c r="H1" s="145" t="s">
        <v>5</v>
      </c>
      <c r="I1" s="146" t="s">
        <v>23</v>
      </c>
      <c r="J1" s="146" t="s">
        <v>69</v>
      </c>
      <c r="K1" s="146" t="s">
        <v>70</v>
      </c>
      <c r="L1" s="2"/>
      <c r="M1" s="1"/>
      <c r="N1" s="1"/>
      <c r="O1" s="1"/>
    </row>
    <row x14ac:dyDescent="0.25" r="2" customHeight="1" ht="18.75" hidden="1">
      <c r="A2" s="62">
        <v>45695</v>
      </c>
      <c r="B2" s="147" t="s">
        <v>80</v>
      </c>
      <c r="C2" s="66">
        <v>11945347604</v>
      </c>
      <c r="D2" s="66">
        <v>1</v>
      </c>
      <c r="E2" s="147" t="s">
        <v>78</v>
      </c>
      <c r="F2" s="96">
        <f>VLOOKUP(E2,CONFIGURAÇÃO!E:F,2,0)</f>
      </c>
      <c r="G2" s="147" t="s">
        <v>13</v>
      </c>
      <c r="H2" s="96">
        <f>IF(G2="CORTESIA",0,D2*F2)</f>
      </c>
      <c r="I2" s="147" t="s">
        <v>22</v>
      </c>
      <c r="J2" s="147" t="s">
        <v>74</v>
      </c>
      <c r="K2" s="147"/>
      <c r="L2" s="2"/>
      <c r="M2" s="1"/>
      <c r="N2" s="1"/>
      <c r="O2" s="1"/>
    </row>
    <row x14ac:dyDescent="0.25" r="3" customHeight="1" ht="18.75" hidden="1">
      <c r="A3" s="65">
        <v>45695</v>
      </c>
      <c r="B3" s="153" t="s">
        <v>71</v>
      </c>
      <c r="C3" s="66">
        <v>11914183024</v>
      </c>
      <c r="D3" s="66">
        <v>3</v>
      </c>
      <c r="E3" s="147" t="s">
        <v>78</v>
      </c>
      <c r="F3" s="96">
        <f>VLOOKUP(E3,CONFIGURAÇÃO!E:F,2,0)</f>
      </c>
      <c r="G3" s="147" t="s">
        <v>20</v>
      </c>
      <c r="H3" s="96">
        <f>IF(G3="CORTESIA",0,D3*F3)</f>
      </c>
      <c r="I3" s="147" t="s">
        <v>22</v>
      </c>
      <c r="J3" s="147" t="s">
        <v>74</v>
      </c>
      <c r="K3" s="147"/>
      <c r="L3" s="2"/>
      <c r="M3" s="1"/>
      <c r="N3" s="1"/>
      <c r="O3" s="1"/>
    </row>
    <row x14ac:dyDescent="0.25" r="4" customHeight="1" ht="18.75" hidden="1">
      <c r="A4" s="65">
        <v>45695</v>
      </c>
      <c r="B4" s="153" t="s">
        <v>197</v>
      </c>
      <c r="C4" s="66">
        <v>11983693391</v>
      </c>
      <c r="D4" s="66">
        <v>1</v>
      </c>
      <c r="E4" s="147" t="s">
        <v>72</v>
      </c>
      <c r="F4" s="96">
        <f>VLOOKUP(E4,CONFIGURAÇÃO!E:F,2,0)</f>
      </c>
      <c r="G4" s="147" t="s">
        <v>13</v>
      </c>
      <c r="H4" s="96">
        <f>IF(G4="CORTESIA",0,D4*F4)</f>
      </c>
      <c r="I4" s="147" t="s">
        <v>22</v>
      </c>
      <c r="J4" s="147" t="s">
        <v>74</v>
      </c>
      <c r="K4" s="147" t="s">
        <v>375</v>
      </c>
      <c r="L4" s="2"/>
      <c r="M4" s="1"/>
      <c r="N4" s="1"/>
      <c r="O4" s="1"/>
    </row>
    <row x14ac:dyDescent="0.25" r="5" customHeight="1" ht="18.75" hidden="1">
      <c r="A5" s="65">
        <v>45695</v>
      </c>
      <c r="B5" s="153" t="s">
        <v>79</v>
      </c>
      <c r="C5" s="66">
        <v>11961271147</v>
      </c>
      <c r="D5" s="66">
        <v>1</v>
      </c>
      <c r="E5" s="147" t="s">
        <v>78</v>
      </c>
      <c r="F5" s="96">
        <f>VLOOKUP(E5,CONFIGURAÇÃO!E:F,2,0)</f>
      </c>
      <c r="G5" s="147" t="s">
        <v>13</v>
      </c>
      <c r="H5" s="96">
        <f>IF(G5="CORTESIA",0,D5*F5)</f>
      </c>
      <c r="I5" s="147" t="s">
        <v>22</v>
      </c>
      <c r="J5" s="147" t="s">
        <v>74</v>
      </c>
      <c r="K5" s="147"/>
      <c r="L5" s="2"/>
      <c r="M5" s="1"/>
      <c r="N5" s="1"/>
      <c r="O5" s="1"/>
    </row>
    <row x14ac:dyDescent="0.25" r="6" customHeight="1" ht="18.75" hidden="1">
      <c r="A6" s="65">
        <v>45695</v>
      </c>
      <c r="B6" s="153" t="s">
        <v>376</v>
      </c>
      <c r="C6" s="66">
        <v>11967101519</v>
      </c>
      <c r="D6" s="66">
        <v>1</v>
      </c>
      <c r="E6" s="147" t="s">
        <v>78</v>
      </c>
      <c r="F6" s="96">
        <f>VLOOKUP(E6,CONFIGURAÇÃO!E:F,2,0)</f>
      </c>
      <c r="G6" s="147" t="s">
        <v>13</v>
      </c>
      <c r="H6" s="96">
        <f>IF(G6="CORTESIA",0,D6*F6)</f>
      </c>
      <c r="I6" s="147" t="s">
        <v>22</v>
      </c>
      <c r="J6" s="147" t="s">
        <v>74</v>
      </c>
      <c r="K6" s="147"/>
      <c r="L6" s="2"/>
      <c r="M6" s="1"/>
      <c r="N6" s="1"/>
      <c r="O6" s="1"/>
    </row>
    <row x14ac:dyDescent="0.25" r="7" customHeight="1" ht="18.75" hidden="1">
      <c r="A7" s="65">
        <v>45695</v>
      </c>
      <c r="B7" s="153" t="s">
        <v>313</v>
      </c>
      <c r="C7" s="66">
        <v>11963376073</v>
      </c>
      <c r="D7" s="66">
        <v>1</v>
      </c>
      <c r="E7" s="147" t="s">
        <v>78</v>
      </c>
      <c r="F7" s="96">
        <f>VLOOKUP(E7,CONFIGURAÇÃO!E:F,2,0)</f>
      </c>
      <c r="G7" s="147" t="s">
        <v>13</v>
      </c>
      <c r="H7" s="96">
        <f>IF(G7="CORTESIA",0,D7*F7)</f>
      </c>
      <c r="I7" s="147" t="s">
        <v>22</v>
      </c>
      <c r="J7" s="147" t="s">
        <v>74</v>
      </c>
      <c r="K7" s="147"/>
      <c r="L7" s="2"/>
      <c r="M7" s="1"/>
      <c r="N7" s="1"/>
      <c r="O7" s="1"/>
    </row>
    <row x14ac:dyDescent="0.25" r="8" customHeight="1" ht="18.75" hidden="1">
      <c r="A8" s="65">
        <v>45700</v>
      </c>
      <c r="B8" s="147" t="s">
        <v>71</v>
      </c>
      <c r="C8" s="66">
        <v>11914183024</v>
      </c>
      <c r="D8" s="66">
        <v>2</v>
      </c>
      <c r="E8" s="147" t="s">
        <v>171</v>
      </c>
      <c r="F8" s="96">
        <f>VLOOKUP(E8,CONFIGURAÇÃO!E:F,2,0)</f>
      </c>
      <c r="G8" s="147" t="s">
        <v>20</v>
      </c>
      <c r="H8" s="96">
        <f>IF(G8="CORTESIA",0,D8*F8)</f>
      </c>
      <c r="I8" s="147" t="s">
        <v>22</v>
      </c>
      <c r="J8" s="147" t="s">
        <v>74</v>
      </c>
      <c r="K8" s="147"/>
      <c r="L8" s="2"/>
      <c r="M8" s="1"/>
      <c r="N8" s="1"/>
      <c r="O8" s="1"/>
    </row>
    <row x14ac:dyDescent="0.25" r="9" customHeight="1" ht="18.75" hidden="1">
      <c r="A9" s="65">
        <v>45700</v>
      </c>
      <c r="B9" s="147" t="s">
        <v>327</v>
      </c>
      <c r="C9" s="66">
        <v>11993843914</v>
      </c>
      <c r="D9" s="66">
        <v>1</v>
      </c>
      <c r="E9" s="147" t="s">
        <v>78</v>
      </c>
      <c r="F9" s="96">
        <f>VLOOKUP(E9,CONFIGURAÇÃO!E:F,2,0)</f>
      </c>
      <c r="G9" s="147" t="s">
        <v>52</v>
      </c>
      <c r="H9" s="96">
        <f>IF(G9="CORTESIA",0,D9*F9)</f>
      </c>
      <c r="I9" s="147" t="s">
        <v>22</v>
      </c>
      <c r="J9" s="147" t="s">
        <v>74</v>
      </c>
      <c r="K9" s="147"/>
      <c r="L9" s="2"/>
      <c r="M9" s="1"/>
      <c r="N9" s="1"/>
      <c r="O9" s="1"/>
    </row>
    <row x14ac:dyDescent="0.25" r="10" customHeight="1" ht="18.75" hidden="1">
      <c r="A10" s="65">
        <v>45700</v>
      </c>
      <c r="B10" s="147" t="s">
        <v>197</v>
      </c>
      <c r="C10" s="66">
        <v>11983693391</v>
      </c>
      <c r="D10" s="66">
        <v>2</v>
      </c>
      <c r="E10" s="147" t="s">
        <v>78</v>
      </c>
      <c r="F10" s="96">
        <f>VLOOKUP(E10,CONFIGURAÇÃO!E:F,2,0)</f>
      </c>
      <c r="G10" s="147" t="s">
        <v>13</v>
      </c>
      <c r="H10" s="96">
        <f>IF(G10="CORTESIA",0,D10*F10)</f>
      </c>
      <c r="I10" s="147" t="s">
        <v>22</v>
      </c>
      <c r="J10" s="147" t="s">
        <v>74</v>
      </c>
      <c r="K10" s="147"/>
      <c r="L10" s="2"/>
      <c r="M10" s="1"/>
      <c r="N10" s="1"/>
      <c r="O10" s="1"/>
    </row>
    <row x14ac:dyDescent="0.25" r="11" customHeight="1" ht="18.75" hidden="1">
      <c r="A11" s="65">
        <v>45700</v>
      </c>
      <c r="B11" s="147" t="s">
        <v>138</v>
      </c>
      <c r="C11" s="66">
        <v>11983607158</v>
      </c>
      <c r="D11" s="66">
        <v>1</v>
      </c>
      <c r="E11" s="147" t="s">
        <v>171</v>
      </c>
      <c r="F11" s="96">
        <f>VLOOKUP(E11,CONFIGURAÇÃO!E:F,2,0)</f>
      </c>
      <c r="G11" s="147" t="s">
        <v>13</v>
      </c>
      <c r="H11" s="96">
        <f>IF(G11="CORTESIA",0,D11*F11)</f>
      </c>
      <c r="I11" s="147" t="s">
        <v>22</v>
      </c>
      <c r="J11" s="147" t="s">
        <v>74</v>
      </c>
      <c r="K11" s="147"/>
      <c r="L11" s="2"/>
      <c r="M11" s="1"/>
      <c r="N11" s="1"/>
      <c r="O11" s="1"/>
    </row>
    <row x14ac:dyDescent="0.25" r="12" customHeight="1" ht="18.75" hidden="1">
      <c r="A12" s="65">
        <v>45700</v>
      </c>
      <c r="B12" s="147" t="s">
        <v>80</v>
      </c>
      <c r="C12" s="66">
        <v>11945347604</v>
      </c>
      <c r="D12" s="66">
        <v>1</v>
      </c>
      <c r="E12" s="147" t="s">
        <v>171</v>
      </c>
      <c r="F12" s="96">
        <f>VLOOKUP(E12,CONFIGURAÇÃO!E:F,2,0)</f>
      </c>
      <c r="G12" s="147" t="s">
        <v>13</v>
      </c>
      <c r="H12" s="96">
        <f>IF(G12="CORTESIA",0,D12*F12)</f>
      </c>
      <c r="I12" s="147" t="s">
        <v>22</v>
      </c>
      <c r="J12" s="147" t="s">
        <v>74</v>
      </c>
      <c r="K12" s="147"/>
      <c r="L12" s="2"/>
      <c r="M12" s="1"/>
      <c r="N12" s="1"/>
      <c r="O12" s="1"/>
    </row>
    <row x14ac:dyDescent="0.25" r="13" customHeight="1" ht="18.75" hidden="1">
      <c r="A13" s="65">
        <v>45700</v>
      </c>
      <c r="B13" s="147" t="s">
        <v>377</v>
      </c>
      <c r="C13" s="66">
        <v>11941559186</v>
      </c>
      <c r="D13" s="66">
        <v>2</v>
      </c>
      <c r="E13" s="147" t="s">
        <v>171</v>
      </c>
      <c r="F13" s="96">
        <f>VLOOKUP(E13,CONFIGURAÇÃO!E:F,2,0)</f>
      </c>
      <c r="G13" s="147" t="s">
        <v>13</v>
      </c>
      <c r="H13" s="96">
        <f>IF(G13="CORTESIA",0,D13*F13)</f>
      </c>
      <c r="I13" s="147" t="s">
        <v>22</v>
      </c>
      <c r="J13" s="147" t="s">
        <v>74</v>
      </c>
      <c r="K13" s="147"/>
      <c r="L13" s="2"/>
      <c r="M13" s="1"/>
      <c r="N13" s="1"/>
      <c r="O13" s="1"/>
    </row>
    <row x14ac:dyDescent="0.25" r="14" customHeight="1" ht="18.75" hidden="1">
      <c r="A14" s="65">
        <v>45700</v>
      </c>
      <c r="B14" s="147" t="s">
        <v>378</v>
      </c>
      <c r="C14" s="66">
        <v>11968302654</v>
      </c>
      <c r="D14" s="66">
        <v>1</v>
      </c>
      <c r="E14" s="147" t="s">
        <v>171</v>
      </c>
      <c r="F14" s="96">
        <f>VLOOKUP(E14,CONFIGURAÇÃO!E:F,2,0)</f>
      </c>
      <c r="G14" s="147" t="s">
        <v>13</v>
      </c>
      <c r="H14" s="96">
        <f>IF(G14="CORTESIA",0,D14*F14)</f>
      </c>
      <c r="I14" s="147" t="s">
        <v>22</v>
      </c>
      <c r="J14" s="147" t="s">
        <v>74</v>
      </c>
      <c r="K14" s="147"/>
      <c r="L14" s="2"/>
      <c r="M14" s="1"/>
      <c r="N14" s="1"/>
      <c r="O14" s="1"/>
    </row>
    <row x14ac:dyDescent="0.25" r="15" customHeight="1" ht="18.75" hidden="1">
      <c r="A15" s="65">
        <v>45700</v>
      </c>
      <c r="B15" s="147" t="s">
        <v>129</v>
      </c>
      <c r="C15" s="66">
        <v>11994748434</v>
      </c>
      <c r="D15" s="66">
        <v>1</v>
      </c>
      <c r="E15" s="147" t="s">
        <v>171</v>
      </c>
      <c r="F15" s="96">
        <f>VLOOKUP(E15,CONFIGURAÇÃO!E:F,2,0)</f>
      </c>
      <c r="G15" s="147" t="s">
        <v>13</v>
      </c>
      <c r="H15" s="96">
        <f>IF(G15="CORTESIA",0,D15*F15)</f>
      </c>
      <c r="I15" s="147" t="s">
        <v>22</v>
      </c>
      <c r="J15" s="147" t="s">
        <v>74</v>
      </c>
      <c r="K15" s="147"/>
      <c r="L15" s="2"/>
      <c r="M15" s="1"/>
      <c r="N15" s="1"/>
      <c r="O15" s="1"/>
    </row>
    <row x14ac:dyDescent="0.25" r="16" customHeight="1" ht="18.75" hidden="1">
      <c r="A16" s="65">
        <v>45700</v>
      </c>
      <c r="B16" s="147" t="s">
        <v>355</v>
      </c>
      <c r="C16" s="66">
        <v>11977790257</v>
      </c>
      <c r="D16" s="66">
        <v>1</v>
      </c>
      <c r="E16" s="147" t="s">
        <v>171</v>
      </c>
      <c r="F16" s="96">
        <f>VLOOKUP(E16,CONFIGURAÇÃO!E:F,2,0)</f>
      </c>
      <c r="G16" s="147" t="s">
        <v>13</v>
      </c>
      <c r="H16" s="96">
        <f>IF(G16="CORTESIA",0,D16*F16)</f>
      </c>
      <c r="I16" s="147" t="s">
        <v>22</v>
      </c>
      <c r="J16" s="147" t="s">
        <v>74</v>
      </c>
      <c r="K16" s="147"/>
      <c r="L16" s="2"/>
      <c r="M16" s="1"/>
      <c r="N16" s="1"/>
      <c r="O16" s="1"/>
    </row>
    <row x14ac:dyDescent="0.25" r="17" customHeight="1" ht="18.75" hidden="1">
      <c r="A17" s="65">
        <v>45700</v>
      </c>
      <c r="B17" s="147" t="s">
        <v>379</v>
      </c>
      <c r="C17" s="66">
        <v>11915146426</v>
      </c>
      <c r="D17" s="66">
        <v>1</v>
      </c>
      <c r="E17" s="147" t="s">
        <v>78</v>
      </c>
      <c r="F17" s="96">
        <f>VLOOKUP(E17,CONFIGURAÇÃO!E:F,2,0)</f>
      </c>
      <c r="G17" s="147" t="s">
        <v>13</v>
      </c>
      <c r="H17" s="96">
        <f>IF(G17="CORTESIA",0,D17*F17)</f>
      </c>
      <c r="I17" s="147" t="s">
        <v>22</v>
      </c>
      <c r="J17" s="147" t="s">
        <v>74</v>
      </c>
      <c r="K17" s="147"/>
      <c r="L17" s="2"/>
      <c r="M17" s="1"/>
      <c r="N17" s="1"/>
      <c r="O17" s="1"/>
    </row>
    <row x14ac:dyDescent="0.25" r="18" customHeight="1" ht="18.75" hidden="1">
      <c r="A18" s="65">
        <v>45719</v>
      </c>
      <c r="B18" s="147" t="s">
        <v>379</v>
      </c>
      <c r="C18" s="66">
        <v>11915146426</v>
      </c>
      <c r="D18" s="66">
        <v>1</v>
      </c>
      <c r="E18" s="147" t="s">
        <v>72</v>
      </c>
      <c r="F18" s="96">
        <f>VLOOKUP(E18,CONFIGURAÇÃO!E:F,2,0)</f>
      </c>
      <c r="G18" s="147" t="s">
        <v>13</v>
      </c>
      <c r="H18" s="96">
        <f>IF(G18="CORTESIA",0,D18*F18)</f>
      </c>
      <c r="I18" s="147" t="s">
        <v>22</v>
      </c>
      <c r="J18" s="147" t="s">
        <v>74</v>
      </c>
      <c r="K18" s="147"/>
      <c r="L18" s="2"/>
      <c r="M18" s="1"/>
      <c r="N18" s="1"/>
      <c r="O18" s="1"/>
    </row>
    <row x14ac:dyDescent="0.25" r="19" customHeight="1" ht="18.75" hidden="1">
      <c r="A19" s="65">
        <v>45719</v>
      </c>
      <c r="B19" s="147" t="s">
        <v>101</v>
      </c>
      <c r="C19" s="66">
        <v>11914529088</v>
      </c>
      <c r="D19" s="66">
        <v>1</v>
      </c>
      <c r="E19" s="147" t="s">
        <v>72</v>
      </c>
      <c r="F19" s="96">
        <f>VLOOKUP(E19,CONFIGURAÇÃO!E:F,2,0)</f>
      </c>
      <c r="G19" s="147" t="s">
        <v>13</v>
      </c>
      <c r="H19" s="96">
        <f>IF(G19="CORTESIA",0,D19*F19)</f>
      </c>
      <c r="I19" s="147" t="s">
        <v>22</v>
      </c>
      <c r="J19" s="147" t="s">
        <v>74</v>
      </c>
      <c r="K19" s="147"/>
      <c r="L19" s="2"/>
      <c r="M19" s="1"/>
      <c r="N19" s="1"/>
      <c r="O19" s="1"/>
    </row>
    <row x14ac:dyDescent="0.25" r="20" customHeight="1" ht="18.75" hidden="1">
      <c r="A20" s="65">
        <v>45719</v>
      </c>
      <c r="B20" s="147" t="s">
        <v>360</v>
      </c>
      <c r="C20" s="66">
        <v>11976769560</v>
      </c>
      <c r="D20" s="66">
        <v>1</v>
      </c>
      <c r="E20" s="147" t="s">
        <v>72</v>
      </c>
      <c r="F20" s="96">
        <f>VLOOKUP(E20,CONFIGURAÇÃO!E:F,2,0)</f>
      </c>
      <c r="G20" s="147" t="s">
        <v>13</v>
      </c>
      <c r="H20" s="96">
        <f>IF(G20="CORTESIA",0,D20*F20)</f>
      </c>
      <c r="I20" s="147" t="s">
        <v>22</v>
      </c>
      <c r="J20" s="147" t="s">
        <v>74</v>
      </c>
      <c r="K20" s="147"/>
      <c r="L20" s="2"/>
      <c r="M20" s="1"/>
      <c r="N20" s="1"/>
      <c r="O20" s="1"/>
    </row>
    <row x14ac:dyDescent="0.25" r="21" customHeight="1" ht="18.75" hidden="1">
      <c r="A21" s="65">
        <v>45719</v>
      </c>
      <c r="B21" s="147" t="s">
        <v>380</v>
      </c>
      <c r="C21" s="66">
        <v>11913468862</v>
      </c>
      <c r="D21" s="66">
        <v>1</v>
      </c>
      <c r="E21" s="147" t="s">
        <v>72</v>
      </c>
      <c r="F21" s="96">
        <f>VLOOKUP(E21,CONFIGURAÇÃO!E:F,2,0)</f>
      </c>
      <c r="G21" s="147" t="s">
        <v>13</v>
      </c>
      <c r="H21" s="96">
        <f>IF(G21="CORTESIA",0,D21*F21)</f>
      </c>
      <c r="I21" s="147" t="s">
        <v>22</v>
      </c>
      <c r="J21" s="147" t="s">
        <v>74</v>
      </c>
      <c r="K21" s="147"/>
      <c r="L21" s="2"/>
      <c r="M21" s="1"/>
      <c r="N21" s="1"/>
      <c r="O21" s="1"/>
    </row>
    <row x14ac:dyDescent="0.25" r="22" customHeight="1" ht="18.75" hidden="1">
      <c r="A22" s="65">
        <v>45719</v>
      </c>
      <c r="B22" s="147" t="s">
        <v>381</v>
      </c>
      <c r="C22" s="66">
        <v>11978048565</v>
      </c>
      <c r="D22" s="66">
        <v>1</v>
      </c>
      <c r="E22" s="147" t="s">
        <v>72</v>
      </c>
      <c r="F22" s="96">
        <f>VLOOKUP(E22,CONFIGURAÇÃO!E:F,2,0)</f>
      </c>
      <c r="G22" s="147" t="s">
        <v>13</v>
      </c>
      <c r="H22" s="96">
        <f>IF(G22="CORTESIA",0,D22*F22)</f>
      </c>
      <c r="I22" s="147" t="s">
        <v>22</v>
      </c>
      <c r="J22" s="147" t="s">
        <v>74</v>
      </c>
      <c r="K22" s="147"/>
      <c r="L22" s="2"/>
      <c r="M22" s="164"/>
      <c r="N22" s="1"/>
      <c r="O22" s="1"/>
    </row>
    <row x14ac:dyDescent="0.25" r="23" customHeight="1" ht="18.75" hidden="1">
      <c r="A23" s="65">
        <v>45719</v>
      </c>
      <c r="B23" s="147" t="s">
        <v>80</v>
      </c>
      <c r="C23" s="66">
        <v>11945347604</v>
      </c>
      <c r="D23" s="66">
        <v>1</v>
      </c>
      <c r="E23" s="147" t="s">
        <v>72</v>
      </c>
      <c r="F23" s="96">
        <f>VLOOKUP(E23,CONFIGURAÇÃO!E:F,2,0)</f>
      </c>
      <c r="G23" s="147" t="s">
        <v>13</v>
      </c>
      <c r="H23" s="96">
        <f>IF(G23="CORTESIA",0,D23*F23)</f>
      </c>
      <c r="I23" s="147" t="s">
        <v>22</v>
      </c>
      <c r="J23" s="147" t="s">
        <v>74</v>
      </c>
      <c r="K23" s="147"/>
      <c r="L23" s="2"/>
      <c r="M23" s="1"/>
      <c r="N23" s="1"/>
      <c r="O23" s="1"/>
    </row>
    <row x14ac:dyDescent="0.25" r="24" customHeight="1" ht="18.75" hidden="1">
      <c r="A24" s="65">
        <v>45719</v>
      </c>
      <c r="B24" s="147" t="s">
        <v>382</v>
      </c>
      <c r="C24" s="66">
        <v>11914797854</v>
      </c>
      <c r="D24" s="66">
        <v>1</v>
      </c>
      <c r="E24" s="147" t="s">
        <v>72</v>
      </c>
      <c r="F24" s="96">
        <f>VLOOKUP(E24,CONFIGURAÇÃO!E:F,2,0)</f>
      </c>
      <c r="G24" s="147" t="s">
        <v>13</v>
      </c>
      <c r="H24" s="96">
        <f>IF(G24="CORTESIA",0,D24*F24)</f>
      </c>
      <c r="I24" s="147" t="s">
        <v>22</v>
      </c>
      <c r="J24" s="147" t="s">
        <v>74</v>
      </c>
      <c r="K24" s="147"/>
      <c r="L24" s="2"/>
      <c r="M24" s="1"/>
      <c r="N24" s="1"/>
      <c r="O24" s="1"/>
    </row>
    <row x14ac:dyDescent="0.25" r="25" customHeight="1" ht="18.75" hidden="1">
      <c r="A25" s="65">
        <v>45719</v>
      </c>
      <c r="B25" s="147" t="s">
        <v>382</v>
      </c>
      <c r="C25" s="66">
        <v>11914797854</v>
      </c>
      <c r="D25" s="66">
        <v>1</v>
      </c>
      <c r="E25" s="147" t="s">
        <v>78</v>
      </c>
      <c r="F25" s="96">
        <f>VLOOKUP(E25,CONFIGURAÇÃO!E:F,2,0)</f>
      </c>
      <c r="G25" s="147" t="s">
        <v>13</v>
      </c>
      <c r="H25" s="96">
        <f>IF(G25="CORTESIA",0,D25*F25)</f>
      </c>
      <c r="I25" s="147" t="s">
        <v>22</v>
      </c>
      <c r="J25" s="147" t="s">
        <v>74</v>
      </c>
      <c r="K25" s="147"/>
      <c r="L25" s="2"/>
      <c r="M25" s="1"/>
      <c r="N25" s="1"/>
      <c r="O25" s="1"/>
    </row>
    <row x14ac:dyDescent="0.25" r="26" customHeight="1" ht="18.75" hidden="1">
      <c r="A26" s="65">
        <v>45719</v>
      </c>
      <c r="B26" s="147" t="s">
        <v>129</v>
      </c>
      <c r="C26" s="66">
        <v>11994748434</v>
      </c>
      <c r="D26" s="66">
        <v>1</v>
      </c>
      <c r="E26" s="147" t="s">
        <v>72</v>
      </c>
      <c r="F26" s="96">
        <f>VLOOKUP(E26,CONFIGURAÇÃO!E:F,2,0)</f>
      </c>
      <c r="G26" s="147" t="s">
        <v>13</v>
      </c>
      <c r="H26" s="96">
        <f>IF(G26="CORTESIA",0,D26*F26)</f>
      </c>
      <c r="I26" s="147" t="s">
        <v>22</v>
      </c>
      <c r="J26" s="147" t="s">
        <v>74</v>
      </c>
      <c r="K26" s="147"/>
      <c r="L26" s="2"/>
      <c r="M26" s="1"/>
      <c r="N26" s="1"/>
      <c r="O26" s="1"/>
    </row>
    <row x14ac:dyDescent="0.25" r="27" customHeight="1" ht="18.75" hidden="1">
      <c r="A27" s="65">
        <v>45719</v>
      </c>
      <c r="B27" s="147" t="s">
        <v>90</v>
      </c>
      <c r="C27" s="66">
        <v>11915071973</v>
      </c>
      <c r="D27" s="66">
        <v>1</v>
      </c>
      <c r="E27" s="147" t="s">
        <v>72</v>
      </c>
      <c r="F27" s="96">
        <f>VLOOKUP(E27,CONFIGURAÇÃO!E:F,2,0)</f>
      </c>
      <c r="G27" s="147" t="s">
        <v>13</v>
      </c>
      <c r="H27" s="96">
        <f>IF(G27="CORTESIA",0,D27*F27)</f>
      </c>
      <c r="I27" s="147" t="s">
        <v>22</v>
      </c>
      <c r="J27" s="147" t="s">
        <v>74</v>
      </c>
      <c r="K27" s="147"/>
      <c r="L27" s="2"/>
      <c r="M27" s="1"/>
      <c r="N27" s="1"/>
      <c r="O27" s="1"/>
    </row>
    <row x14ac:dyDescent="0.25" r="28" customHeight="1" ht="18.75" hidden="1">
      <c r="A28" s="65">
        <v>45719</v>
      </c>
      <c r="B28" s="147" t="s">
        <v>383</v>
      </c>
      <c r="C28" s="66">
        <v>11997856707</v>
      </c>
      <c r="D28" s="66">
        <v>1</v>
      </c>
      <c r="E28" s="147" t="s">
        <v>72</v>
      </c>
      <c r="F28" s="96">
        <f>VLOOKUP(E28,CONFIGURAÇÃO!E:F,2,0)</f>
      </c>
      <c r="G28" s="147" t="s">
        <v>13</v>
      </c>
      <c r="H28" s="96">
        <f>IF(G28="CORTESIA",0,D28*F28)</f>
      </c>
      <c r="I28" s="147" t="s">
        <v>22</v>
      </c>
      <c r="J28" s="147" t="s">
        <v>74</v>
      </c>
      <c r="K28" s="147"/>
      <c r="L28" s="2"/>
      <c r="M28" s="1"/>
      <c r="N28" s="1"/>
      <c r="O28" s="1"/>
    </row>
    <row x14ac:dyDescent="0.25" r="29" customHeight="1" ht="18.75" hidden="1">
      <c r="A29" s="65">
        <v>45719</v>
      </c>
      <c r="B29" s="147" t="s">
        <v>331</v>
      </c>
      <c r="C29" s="66">
        <v>11988916124</v>
      </c>
      <c r="D29" s="66">
        <v>1</v>
      </c>
      <c r="E29" s="147" t="s">
        <v>78</v>
      </c>
      <c r="F29" s="96">
        <f>VLOOKUP(E29,CONFIGURAÇÃO!E:F,2,0)</f>
      </c>
      <c r="G29" s="147" t="s">
        <v>13</v>
      </c>
      <c r="H29" s="96">
        <f>IF(G29="CORTESIA",0,D29*F29)</f>
      </c>
      <c r="I29" s="147" t="s">
        <v>22</v>
      </c>
      <c r="J29" s="147" t="s">
        <v>74</v>
      </c>
      <c r="K29" s="147"/>
      <c r="L29" s="2"/>
      <c r="M29" s="1"/>
      <c r="N29" s="1"/>
      <c r="O29" s="1"/>
    </row>
    <row x14ac:dyDescent="0.25" r="30" customHeight="1" ht="18.75" hidden="1">
      <c r="A30" s="165">
        <v>45719</v>
      </c>
      <c r="B30" s="147" t="s">
        <v>142</v>
      </c>
      <c r="C30" s="66">
        <v>11974917662</v>
      </c>
      <c r="D30" s="66">
        <v>1</v>
      </c>
      <c r="E30" s="147" t="s">
        <v>78</v>
      </c>
      <c r="F30" s="96">
        <f>VLOOKUP(E30,CONFIGURAÇÃO!E:F,2,0)</f>
      </c>
      <c r="G30" s="147" t="s">
        <v>13</v>
      </c>
      <c r="H30" s="96">
        <f>IF(G30="CORTESIA",0,D30*F30)</f>
      </c>
      <c r="I30" s="147" t="s">
        <v>22</v>
      </c>
      <c r="J30" s="147" t="s">
        <v>74</v>
      </c>
      <c r="K30" s="147"/>
      <c r="L30" s="2"/>
      <c r="M30" s="1"/>
      <c r="N30" s="1"/>
      <c r="O30" s="164"/>
    </row>
    <row x14ac:dyDescent="0.25" r="31" customHeight="1" ht="18.75" hidden="1">
      <c r="A31" s="65">
        <v>45719</v>
      </c>
      <c r="B31" s="147" t="s">
        <v>96</v>
      </c>
      <c r="C31" s="66">
        <v>11971614548</v>
      </c>
      <c r="D31" s="66">
        <v>1</v>
      </c>
      <c r="E31" s="147" t="s">
        <v>72</v>
      </c>
      <c r="F31" s="96">
        <f>VLOOKUP(E31,CONFIGURAÇÃO!E:F,2,0)</f>
      </c>
      <c r="G31" s="147" t="s">
        <v>13</v>
      </c>
      <c r="H31" s="96">
        <f>IF(G31="CORTESIA",0,D31*F31)</f>
      </c>
      <c r="I31" s="147" t="s">
        <v>22</v>
      </c>
      <c r="J31" s="147" t="s">
        <v>74</v>
      </c>
      <c r="K31" s="147"/>
      <c r="L31" s="2"/>
      <c r="M31" s="1"/>
      <c r="N31" s="1"/>
      <c r="O31" s="34"/>
    </row>
    <row x14ac:dyDescent="0.25" r="32" customHeight="1" ht="18.75" hidden="1">
      <c r="A32" s="65">
        <v>45719</v>
      </c>
      <c r="B32" s="147" t="s">
        <v>384</v>
      </c>
      <c r="C32" s="66">
        <v>11982757475</v>
      </c>
      <c r="D32" s="66">
        <v>1</v>
      </c>
      <c r="E32" s="147" t="s">
        <v>72</v>
      </c>
      <c r="F32" s="96">
        <f>VLOOKUP(E32,CONFIGURAÇÃO!E:F,2,0)</f>
      </c>
      <c r="G32" s="147" t="s">
        <v>13</v>
      </c>
      <c r="H32" s="96">
        <f>IF(G32="CORTESIA",0,D32*F32)</f>
      </c>
      <c r="I32" s="147" t="s">
        <v>22</v>
      </c>
      <c r="J32" s="147" t="s">
        <v>74</v>
      </c>
      <c r="K32" s="147"/>
      <c r="L32" s="2"/>
      <c r="M32" s="1"/>
      <c r="N32" s="1"/>
      <c r="O32" s="1"/>
    </row>
    <row x14ac:dyDescent="0.25" r="33" customHeight="1" ht="18.75" hidden="1">
      <c r="A33" s="65">
        <v>45719</v>
      </c>
      <c r="B33" s="147" t="s">
        <v>384</v>
      </c>
      <c r="C33" s="66">
        <v>11982757475</v>
      </c>
      <c r="D33" s="66">
        <v>1</v>
      </c>
      <c r="E33" s="147" t="s">
        <v>78</v>
      </c>
      <c r="F33" s="96">
        <f>VLOOKUP(E33,CONFIGURAÇÃO!E:F,2,0)</f>
      </c>
      <c r="G33" s="147" t="s">
        <v>13</v>
      </c>
      <c r="H33" s="96">
        <f>IF(G33="CORTESIA",0,D33*F33)</f>
      </c>
      <c r="I33" s="147" t="s">
        <v>22</v>
      </c>
      <c r="J33" s="147" t="s">
        <v>74</v>
      </c>
      <c r="K33" s="147"/>
      <c r="L33" s="2"/>
      <c r="M33" s="1"/>
      <c r="N33" s="1"/>
      <c r="O33" s="1"/>
    </row>
    <row x14ac:dyDescent="0.25" r="34" customHeight="1" ht="18.75" hidden="1">
      <c r="A34" s="65">
        <v>45719</v>
      </c>
      <c r="B34" s="147" t="s">
        <v>372</v>
      </c>
      <c r="C34" s="66">
        <v>11982875365</v>
      </c>
      <c r="D34" s="66">
        <v>1</v>
      </c>
      <c r="E34" s="147" t="s">
        <v>72</v>
      </c>
      <c r="F34" s="96">
        <f>VLOOKUP(E34,CONFIGURAÇÃO!E:F,2,0)</f>
      </c>
      <c r="G34" s="147" t="s">
        <v>13</v>
      </c>
      <c r="H34" s="96">
        <f>IF(G34="CORTESIA",0,D34*F34)</f>
      </c>
      <c r="I34" s="147" t="s">
        <v>22</v>
      </c>
      <c r="J34" s="147" t="s">
        <v>74</v>
      </c>
      <c r="K34" s="147"/>
      <c r="L34" s="2"/>
      <c r="M34" s="1"/>
      <c r="N34" s="1"/>
      <c r="O34" s="1"/>
    </row>
    <row x14ac:dyDescent="0.25" r="35" customHeight="1" ht="18.75">
      <c r="A35" s="65">
        <v>45719</v>
      </c>
      <c r="B35" s="147" t="s">
        <v>324</v>
      </c>
      <c r="C35" s="66">
        <v>11972383586</v>
      </c>
      <c r="D35" s="66">
        <v>1</v>
      </c>
      <c r="E35" s="147" t="s">
        <v>78</v>
      </c>
      <c r="F35" s="96">
        <f>VLOOKUP(E35,CONFIGURAÇÃO!E:F,2,0)</f>
      </c>
      <c r="G35" s="147" t="s">
        <v>13</v>
      </c>
      <c r="H35" s="96">
        <f>IF(G35="CORTESIA",0,D35*F35)</f>
      </c>
      <c r="I35" s="147" t="s">
        <v>59</v>
      </c>
      <c r="J35" s="147" t="s">
        <v>74</v>
      </c>
      <c r="K35" s="147" t="s">
        <v>385</v>
      </c>
      <c r="L35" s="2"/>
      <c r="M35" s="1"/>
      <c r="N35" s="1"/>
      <c r="O35" s="1"/>
    </row>
    <row x14ac:dyDescent="0.25" r="36" customHeight="1" ht="18.75">
      <c r="A36" s="65">
        <v>45719</v>
      </c>
      <c r="B36" s="147" t="s">
        <v>386</v>
      </c>
      <c r="C36" s="66">
        <v>11999065685</v>
      </c>
      <c r="D36" s="66">
        <v>2</v>
      </c>
      <c r="E36" s="147" t="s">
        <v>72</v>
      </c>
      <c r="F36" s="96">
        <f>VLOOKUP(E36,CONFIGURAÇÃO!E:F,2,0)</f>
      </c>
      <c r="G36" s="147" t="s">
        <v>13</v>
      </c>
      <c r="H36" s="96">
        <f>IF(G36="CORTESIA",0,D36*F36)</f>
      </c>
      <c r="I36" s="147" t="s">
        <v>59</v>
      </c>
      <c r="J36" s="147" t="s">
        <v>74</v>
      </c>
      <c r="K36" s="147" t="s">
        <v>385</v>
      </c>
      <c r="L36" s="2"/>
      <c r="M36" s="1"/>
      <c r="N36" s="1"/>
      <c r="O36" s="1"/>
    </row>
    <row x14ac:dyDescent="0.25" r="37" customHeight="1" ht="18.75">
      <c r="A37" s="65">
        <v>45719</v>
      </c>
      <c r="B37" s="147" t="s">
        <v>387</v>
      </c>
      <c r="C37" s="66">
        <v>11978520670</v>
      </c>
      <c r="D37" s="66">
        <v>2</v>
      </c>
      <c r="E37" s="147" t="s">
        <v>72</v>
      </c>
      <c r="F37" s="96">
        <f>VLOOKUP(E37,CONFIGURAÇÃO!E:F,2,0)</f>
      </c>
      <c r="G37" s="147" t="s">
        <v>73</v>
      </c>
      <c r="H37" s="96">
        <f>IF(G37="CORTESIA",0,D37*F37)</f>
      </c>
      <c r="I37" s="147" t="s">
        <v>59</v>
      </c>
      <c r="J37" s="147" t="s">
        <v>74</v>
      </c>
      <c r="K37" s="147" t="s">
        <v>388</v>
      </c>
      <c r="L37" s="2"/>
      <c r="M37" s="1"/>
      <c r="N37" s="1"/>
      <c r="O37" s="1"/>
    </row>
    <row x14ac:dyDescent="0.25" r="38" customHeight="1" ht="18.75">
      <c r="A38" s="65">
        <v>45719</v>
      </c>
      <c r="B38" s="147" t="s">
        <v>389</v>
      </c>
      <c r="C38" s="66">
        <v>11982370902</v>
      </c>
      <c r="D38" s="66">
        <v>2</v>
      </c>
      <c r="E38" s="147" t="s">
        <v>72</v>
      </c>
      <c r="F38" s="96">
        <f>VLOOKUP(E38,CONFIGURAÇÃO!E:F,2,0)</f>
      </c>
      <c r="G38" s="147" t="s">
        <v>13</v>
      </c>
      <c r="H38" s="96">
        <f>IF(G38="CORTESIA",0,D38*F38)</f>
      </c>
      <c r="I38" s="147" t="s">
        <v>59</v>
      </c>
      <c r="J38" s="147" t="s">
        <v>74</v>
      </c>
      <c r="K38" s="147" t="s">
        <v>390</v>
      </c>
      <c r="L38" s="2"/>
      <c r="M38" s="1"/>
      <c r="N38" s="1"/>
      <c r="O38" s="1"/>
    </row>
    <row x14ac:dyDescent="0.25" r="39" customHeight="1" ht="18.75">
      <c r="A39" s="65">
        <v>45719</v>
      </c>
      <c r="B39" s="147" t="s">
        <v>391</v>
      </c>
      <c r="C39" s="66">
        <v>11995677180</v>
      </c>
      <c r="D39" s="66">
        <v>1</v>
      </c>
      <c r="E39" s="147" t="s">
        <v>72</v>
      </c>
      <c r="F39" s="96">
        <f>VLOOKUP(E39,CONFIGURAÇÃO!E:F,2,0)</f>
      </c>
      <c r="G39" s="147" t="s">
        <v>13</v>
      </c>
      <c r="H39" s="96">
        <f>IF(G39="CORTESIA",0,D39*F39)</f>
      </c>
      <c r="I39" s="147" t="s">
        <v>59</v>
      </c>
      <c r="J39" s="147" t="s">
        <v>74</v>
      </c>
      <c r="K39" s="147"/>
      <c r="L39" s="2"/>
      <c r="M39" s="1"/>
      <c r="N39" s="1"/>
      <c r="O39" s="1"/>
    </row>
    <row x14ac:dyDescent="0.25" r="40" customHeight="1" ht="18.75">
      <c r="A40" s="65">
        <v>45719</v>
      </c>
      <c r="B40" s="147" t="s">
        <v>392</v>
      </c>
      <c r="C40" s="148">
        <v>11911193002</v>
      </c>
      <c r="D40" s="66">
        <v>1</v>
      </c>
      <c r="E40" s="147" t="s">
        <v>72</v>
      </c>
      <c r="F40" s="96">
        <f>VLOOKUP(E40,CONFIGURAÇÃO!E:F,2,0)</f>
      </c>
      <c r="G40" s="147" t="s">
        <v>73</v>
      </c>
      <c r="H40" s="96">
        <f>IF(G40="CORTESIA",0,D40*F40)</f>
      </c>
      <c r="I40" s="147" t="s">
        <v>59</v>
      </c>
      <c r="J40" s="147" t="s">
        <v>74</v>
      </c>
      <c r="K40" s="147" t="s">
        <v>393</v>
      </c>
      <c r="L40" s="2"/>
      <c r="M40" s="1"/>
      <c r="N40" s="1"/>
      <c r="O40" s="1"/>
    </row>
    <row x14ac:dyDescent="0.25" r="41" customHeight="1" ht="18.75">
      <c r="A41" s="65">
        <v>45719</v>
      </c>
      <c r="B41" s="147" t="s">
        <v>394</v>
      </c>
      <c r="C41" s="148">
        <v>11994428946</v>
      </c>
      <c r="D41" s="66">
        <v>1</v>
      </c>
      <c r="E41" s="147" t="s">
        <v>72</v>
      </c>
      <c r="F41" s="96">
        <f>VLOOKUP(E41,CONFIGURAÇÃO!E:F,2,0)</f>
      </c>
      <c r="G41" s="147" t="s">
        <v>13</v>
      </c>
      <c r="H41" s="96">
        <f>IF(G41="CORTESIA",0,D41*F41)</f>
      </c>
      <c r="I41" s="147" t="s">
        <v>59</v>
      </c>
      <c r="J41" s="147" t="s">
        <v>74</v>
      </c>
      <c r="K41" s="147" t="s">
        <v>20</v>
      </c>
      <c r="L41" s="2"/>
      <c r="M41" s="1"/>
      <c r="N41" s="1"/>
      <c r="O41" s="1"/>
    </row>
    <row x14ac:dyDescent="0.25" r="42" customHeight="1" ht="18.75">
      <c r="A42" s="65">
        <v>45719</v>
      </c>
      <c r="B42" s="147" t="s">
        <v>395</v>
      </c>
      <c r="C42" s="66">
        <v>11981536575</v>
      </c>
      <c r="D42" s="66">
        <v>1</v>
      </c>
      <c r="E42" s="147" t="s">
        <v>72</v>
      </c>
      <c r="F42" s="96">
        <f>VLOOKUP(E42,CONFIGURAÇÃO!E:F,2,0)</f>
      </c>
      <c r="G42" s="147" t="s">
        <v>13</v>
      </c>
      <c r="H42" s="96">
        <f>IF(G42="CORTESIA",0,D42*F42)</f>
      </c>
      <c r="I42" s="147" t="s">
        <v>59</v>
      </c>
      <c r="J42" s="147" t="s">
        <v>74</v>
      </c>
      <c r="K42" s="147"/>
      <c r="L42" s="2"/>
      <c r="M42" s="1"/>
      <c r="N42" s="1"/>
      <c r="O42" s="1"/>
    </row>
    <row x14ac:dyDescent="0.25" r="43" customHeight="1" ht="18.75">
      <c r="A43" s="65">
        <v>45719</v>
      </c>
      <c r="B43" s="147" t="s">
        <v>396</v>
      </c>
      <c r="C43" s="148">
        <v>11961245501</v>
      </c>
      <c r="D43" s="66">
        <v>2</v>
      </c>
      <c r="E43" s="147" t="s">
        <v>72</v>
      </c>
      <c r="F43" s="96">
        <f>VLOOKUP(E43,CONFIGURAÇÃO!E:F,2,0)</f>
      </c>
      <c r="G43" s="147" t="s">
        <v>73</v>
      </c>
      <c r="H43" s="96">
        <f>IF(G43="CORTESIA",0,D43*F43)</f>
      </c>
      <c r="I43" s="147" t="s">
        <v>59</v>
      </c>
      <c r="J43" s="147" t="s">
        <v>74</v>
      </c>
      <c r="K43" s="147" t="s">
        <v>393</v>
      </c>
      <c r="L43" s="2"/>
      <c r="M43" s="1"/>
      <c r="N43" s="1"/>
      <c r="O43" s="1"/>
    </row>
    <row x14ac:dyDescent="0.25" r="44" customHeight="1" ht="18.75" hidden="1">
      <c r="A44" s="65">
        <v>45698</v>
      </c>
      <c r="B44" s="147" t="s">
        <v>327</v>
      </c>
      <c r="C44" s="66">
        <v>11993843914</v>
      </c>
      <c r="D44" s="66">
        <v>1</v>
      </c>
      <c r="E44" s="147" t="s">
        <v>78</v>
      </c>
      <c r="F44" s="96">
        <f>VLOOKUP(E44,CONFIGURAÇÃO!E:F,2,0)</f>
      </c>
      <c r="G44" s="147" t="s">
        <v>13</v>
      </c>
      <c r="H44" s="96">
        <f>IF(G44="CORTESIA",0,D44*F44)</f>
      </c>
      <c r="I44" s="147" t="s">
        <v>22</v>
      </c>
      <c r="J44" s="147" t="s">
        <v>74</v>
      </c>
      <c r="K44" s="147"/>
      <c r="L44" s="2"/>
      <c r="M44" s="1"/>
      <c r="N44" s="1"/>
      <c r="O44" s="1"/>
    </row>
    <row x14ac:dyDescent="0.25" r="45" customHeight="1" ht="18.75" hidden="1">
      <c r="A45" s="65">
        <v>45698</v>
      </c>
      <c r="B45" s="147" t="s">
        <v>71</v>
      </c>
      <c r="C45" s="66">
        <v>11914183024</v>
      </c>
      <c r="D45" s="66">
        <v>2</v>
      </c>
      <c r="E45" s="147" t="s">
        <v>78</v>
      </c>
      <c r="F45" s="96">
        <f>VLOOKUP(E45,CONFIGURAÇÃO!E:F,2,0)</f>
      </c>
      <c r="G45" s="147" t="s">
        <v>20</v>
      </c>
      <c r="H45" s="96">
        <f>IF(G45="CORTESIA",0,D45*F45)</f>
      </c>
      <c r="I45" s="147" t="s">
        <v>22</v>
      </c>
      <c r="J45" s="147" t="s">
        <v>74</v>
      </c>
      <c r="K45" s="147"/>
      <c r="L45" s="2"/>
      <c r="M45" s="1"/>
      <c r="N45" s="1"/>
      <c r="O45" s="1"/>
    </row>
    <row x14ac:dyDescent="0.25" r="46" customHeight="1" ht="18.75" hidden="1">
      <c r="A46" s="65">
        <v>45698</v>
      </c>
      <c r="B46" s="147" t="s">
        <v>197</v>
      </c>
      <c r="C46" s="66">
        <v>11983693391</v>
      </c>
      <c r="D46" s="66">
        <v>2</v>
      </c>
      <c r="E46" s="147" t="s">
        <v>78</v>
      </c>
      <c r="F46" s="96">
        <f>VLOOKUP(E46,CONFIGURAÇÃO!E:F,2,0)</f>
      </c>
      <c r="G46" s="147" t="s">
        <v>13</v>
      </c>
      <c r="H46" s="96">
        <f>IF(G46="CORTESIA",0,D46*F46)</f>
      </c>
      <c r="I46" s="147" t="s">
        <v>22</v>
      </c>
      <c r="J46" s="147" t="s">
        <v>74</v>
      </c>
      <c r="K46" s="147"/>
      <c r="L46" s="2"/>
      <c r="M46" s="1"/>
      <c r="N46" s="1"/>
      <c r="O46" s="1"/>
    </row>
    <row x14ac:dyDescent="0.25" r="47" customHeight="1" ht="18.75" hidden="1">
      <c r="A47" s="65">
        <v>45698</v>
      </c>
      <c r="B47" s="147" t="s">
        <v>129</v>
      </c>
      <c r="C47" s="66">
        <v>11994748434</v>
      </c>
      <c r="D47" s="66">
        <v>1</v>
      </c>
      <c r="E47" s="147" t="s">
        <v>78</v>
      </c>
      <c r="F47" s="96">
        <f>VLOOKUP(E47,CONFIGURAÇÃO!E:F,2,0)</f>
      </c>
      <c r="G47" s="147" t="s">
        <v>13</v>
      </c>
      <c r="H47" s="96">
        <f>IF(G47="CORTESIA",0,D47*F47)</f>
      </c>
      <c r="I47" s="147" t="s">
        <v>22</v>
      </c>
      <c r="J47" s="147" t="s">
        <v>74</v>
      </c>
      <c r="K47" s="147"/>
      <c r="L47" s="2"/>
      <c r="M47" s="1"/>
      <c r="N47" s="1"/>
      <c r="O47" s="1"/>
    </row>
    <row x14ac:dyDescent="0.25" r="48" customHeight="1" ht="18.75" hidden="1">
      <c r="A48" s="65">
        <v>45698</v>
      </c>
      <c r="B48" s="147" t="s">
        <v>79</v>
      </c>
      <c r="C48" s="66">
        <v>11961271147</v>
      </c>
      <c r="D48" s="66">
        <v>1</v>
      </c>
      <c r="E48" s="147" t="s">
        <v>78</v>
      </c>
      <c r="F48" s="96">
        <f>VLOOKUP(E48,CONFIGURAÇÃO!E:F,2,0)</f>
      </c>
      <c r="G48" s="147" t="s">
        <v>13</v>
      </c>
      <c r="H48" s="96">
        <f>IF(G48="CORTESIA",0,D48*F48)</f>
      </c>
      <c r="I48" s="147" t="s">
        <v>22</v>
      </c>
      <c r="J48" s="147" t="s">
        <v>74</v>
      </c>
      <c r="K48" s="147"/>
      <c r="L48" s="2"/>
      <c r="M48" s="1"/>
      <c r="N48" s="1"/>
      <c r="O48" s="1"/>
    </row>
    <row x14ac:dyDescent="0.25" r="49" customHeight="1" ht="18.75" hidden="1">
      <c r="A49" s="65">
        <v>45698</v>
      </c>
      <c r="B49" s="147" t="s">
        <v>397</v>
      </c>
      <c r="C49" s="66">
        <v>11934673696</v>
      </c>
      <c r="D49" s="66">
        <v>2</v>
      </c>
      <c r="E49" s="147" t="s">
        <v>78</v>
      </c>
      <c r="F49" s="96">
        <f>VLOOKUP(E49,CONFIGURAÇÃO!E:F,2,0)</f>
      </c>
      <c r="G49" s="147" t="s">
        <v>13</v>
      </c>
      <c r="H49" s="96">
        <f>IF(G49="CORTESIA",0,D49*F49)</f>
      </c>
      <c r="I49" s="147" t="s">
        <v>22</v>
      </c>
      <c r="J49" s="147" t="s">
        <v>74</v>
      </c>
      <c r="K49" s="147"/>
      <c r="L49" s="2"/>
      <c r="M49" s="1"/>
      <c r="N49" s="1"/>
      <c r="O49" s="1"/>
    </row>
    <row x14ac:dyDescent="0.25" r="50" customHeight="1" ht="18.75" hidden="1">
      <c r="A50" s="65">
        <v>45698</v>
      </c>
      <c r="B50" s="147" t="s">
        <v>398</v>
      </c>
      <c r="C50" s="66">
        <v>11934829318</v>
      </c>
      <c r="D50" s="66">
        <v>1</v>
      </c>
      <c r="E50" s="147" t="s">
        <v>78</v>
      </c>
      <c r="F50" s="96">
        <f>VLOOKUP(E50,CONFIGURAÇÃO!E:F,2,0)</f>
      </c>
      <c r="G50" s="147" t="s">
        <v>13</v>
      </c>
      <c r="H50" s="96">
        <f>IF(G50="CORTESIA",0,D50*F50)</f>
      </c>
      <c r="I50" s="147" t="s">
        <v>22</v>
      </c>
      <c r="J50" s="147" t="s">
        <v>74</v>
      </c>
      <c r="K50" s="147"/>
      <c r="L50" s="2"/>
      <c r="M50" s="1"/>
      <c r="N50" s="1"/>
      <c r="O50" s="1"/>
    </row>
    <row x14ac:dyDescent="0.25" r="51" customHeight="1" ht="18.75">
      <c r="A51" s="65">
        <v>45699</v>
      </c>
      <c r="B51" s="149" t="s">
        <v>399</v>
      </c>
      <c r="C51" s="148">
        <v>11917618449</v>
      </c>
      <c r="D51" s="148">
        <v>1</v>
      </c>
      <c r="E51" s="149" t="s">
        <v>183</v>
      </c>
      <c r="F51" s="96">
        <f>VLOOKUP(E51,CONFIGURAÇÃO!E:F,2,0)</f>
      </c>
      <c r="G51" s="166" t="s">
        <v>13</v>
      </c>
      <c r="H51" s="96">
        <f>IF(G51="CORTESIA",0,D51*F51)</f>
      </c>
      <c r="I51" s="147" t="s">
        <v>59</v>
      </c>
      <c r="J51" s="149" t="s">
        <v>74</v>
      </c>
      <c r="K51" s="149"/>
      <c r="L51" s="2"/>
      <c r="M51" s="1"/>
      <c r="N51" s="1"/>
      <c r="O51" s="1"/>
    </row>
    <row x14ac:dyDescent="0.25" r="52" customHeight="1" ht="18.75">
      <c r="A52" s="65">
        <v>45699</v>
      </c>
      <c r="B52" s="149" t="s">
        <v>400</v>
      </c>
      <c r="C52" s="148">
        <v>11943267785</v>
      </c>
      <c r="D52" s="148">
        <v>1</v>
      </c>
      <c r="E52" s="149" t="s">
        <v>78</v>
      </c>
      <c r="F52" s="96">
        <f>VLOOKUP(E52,CONFIGURAÇÃO!E:F,2,0)</f>
      </c>
      <c r="G52" s="167" t="s">
        <v>13</v>
      </c>
      <c r="H52" s="96">
        <f>IF(G52="CORTESIA",0,D52*F52)</f>
      </c>
      <c r="I52" s="147" t="s">
        <v>59</v>
      </c>
      <c r="J52" s="149" t="s">
        <v>74</v>
      </c>
      <c r="K52" s="149"/>
      <c r="L52" s="2"/>
      <c r="M52" s="1"/>
      <c r="N52" s="1"/>
      <c r="O52" s="1"/>
    </row>
    <row x14ac:dyDescent="0.25" r="53" customHeight="1" ht="18.75">
      <c r="A53" s="65">
        <v>45699</v>
      </c>
      <c r="B53" s="149" t="s">
        <v>401</v>
      </c>
      <c r="C53" s="148">
        <v>11973134371</v>
      </c>
      <c r="D53" s="148">
        <v>1</v>
      </c>
      <c r="E53" s="149" t="s">
        <v>78</v>
      </c>
      <c r="F53" s="96">
        <f>VLOOKUP(E53,CONFIGURAÇÃO!E:F,2,0)</f>
      </c>
      <c r="G53" s="166" t="s">
        <v>13</v>
      </c>
      <c r="H53" s="96">
        <f>IF(G53="CORTESIA",0,D53*F53)</f>
      </c>
      <c r="I53" s="147" t="s">
        <v>59</v>
      </c>
      <c r="J53" s="149" t="s">
        <v>74</v>
      </c>
      <c r="K53" s="149"/>
      <c r="L53" s="2"/>
      <c r="M53" s="1"/>
      <c r="N53" s="1"/>
      <c r="O53" s="1"/>
    </row>
    <row x14ac:dyDescent="0.25" r="54" customHeight="1" ht="18.75">
      <c r="A54" s="65">
        <v>45699</v>
      </c>
      <c r="B54" s="149" t="s">
        <v>402</v>
      </c>
      <c r="C54" s="148">
        <v>11966167538</v>
      </c>
      <c r="D54" s="148">
        <v>1</v>
      </c>
      <c r="E54" s="149" t="s">
        <v>78</v>
      </c>
      <c r="F54" s="96">
        <f>VLOOKUP(E54,CONFIGURAÇÃO!E:F,2,0)</f>
      </c>
      <c r="G54" s="167" t="s">
        <v>13</v>
      </c>
      <c r="H54" s="96">
        <f>IF(G54="CORTESIA",0,D54*F54)</f>
      </c>
      <c r="I54" s="147" t="s">
        <v>59</v>
      </c>
      <c r="J54" s="149" t="s">
        <v>74</v>
      </c>
      <c r="K54" s="149"/>
      <c r="L54" s="2"/>
      <c r="M54" s="1"/>
      <c r="N54" s="1"/>
      <c r="O54" s="1"/>
    </row>
    <row x14ac:dyDescent="0.25" r="55" customHeight="1" ht="18.75" hidden="1">
      <c r="A55" s="65" t="s">
        <v>34</v>
      </c>
      <c r="B55" s="147" t="s">
        <v>71</v>
      </c>
      <c r="C55" s="66">
        <v>11914183024</v>
      </c>
      <c r="D55" s="66">
        <v>1</v>
      </c>
      <c r="E55" s="147" t="s">
        <v>78</v>
      </c>
      <c r="F55" s="96">
        <f>VLOOKUP(E55,CONFIGURAÇÃO!E:F,2,0)</f>
      </c>
      <c r="G55" s="147" t="s">
        <v>13</v>
      </c>
      <c r="H55" s="96">
        <f>IF(G55="CORTESIA",0,D55*F55)</f>
      </c>
      <c r="I55" s="147" t="s">
        <v>22</v>
      </c>
      <c r="J55" s="147" t="s">
        <v>74</v>
      </c>
      <c r="K55" s="147"/>
      <c r="L55" s="2"/>
      <c r="M55" s="1"/>
      <c r="N55" s="1"/>
      <c r="O55" s="1"/>
    </row>
    <row x14ac:dyDescent="0.25" r="56" customHeight="1" ht="18.75" hidden="1">
      <c r="A56" s="65" t="s">
        <v>34</v>
      </c>
      <c r="B56" s="147" t="s">
        <v>327</v>
      </c>
      <c r="C56" s="66">
        <v>11993843914</v>
      </c>
      <c r="D56" s="66">
        <v>1</v>
      </c>
      <c r="E56" s="147" t="s">
        <v>78</v>
      </c>
      <c r="F56" s="96">
        <f>VLOOKUP(E56,CONFIGURAÇÃO!E:F,2,0)</f>
      </c>
      <c r="G56" s="147" t="s">
        <v>13</v>
      </c>
      <c r="H56" s="96">
        <f>IF(G56="CORTESIA",0,D56*F56)</f>
      </c>
      <c r="I56" s="147" t="s">
        <v>22</v>
      </c>
      <c r="J56" s="147" t="s">
        <v>74</v>
      </c>
      <c r="K56" s="147"/>
      <c r="L56" s="2"/>
      <c r="M56" s="1"/>
      <c r="N56" s="1"/>
      <c r="O56" s="1"/>
    </row>
    <row x14ac:dyDescent="0.25" r="57" customHeight="1" ht="18.75" hidden="1">
      <c r="A57" s="65" t="s">
        <v>34</v>
      </c>
      <c r="B57" s="147" t="s">
        <v>403</v>
      </c>
      <c r="C57" s="66">
        <v>11963046707</v>
      </c>
      <c r="D57" s="66">
        <v>1</v>
      </c>
      <c r="E57" s="147" t="s">
        <v>183</v>
      </c>
      <c r="F57" s="96">
        <f>VLOOKUP(E57,CONFIGURAÇÃO!E:F,2,0)</f>
      </c>
      <c r="G57" s="147" t="s">
        <v>13</v>
      </c>
      <c r="H57" s="96">
        <f>IF(G57="CORTESIA",0,D57*F57)</f>
      </c>
      <c r="I57" s="147" t="s">
        <v>22</v>
      </c>
      <c r="J57" s="147" t="s">
        <v>74</v>
      </c>
      <c r="K57" s="147"/>
      <c r="L57" s="2"/>
      <c r="M57" s="1"/>
      <c r="N57" s="1"/>
      <c r="O57" s="1"/>
    </row>
    <row x14ac:dyDescent="0.25" r="58" customHeight="1" ht="18.75" hidden="1">
      <c r="A58" s="65" t="s">
        <v>34</v>
      </c>
      <c r="B58" s="147" t="s">
        <v>377</v>
      </c>
      <c r="C58" s="66">
        <v>11941559186</v>
      </c>
      <c r="D58" s="66">
        <v>1</v>
      </c>
      <c r="E58" s="147" t="s">
        <v>171</v>
      </c>
      <c r="F58" s="96">
        <f>VLOOKUP(E58,CONFIGURAÇÃO!E:F,2,0)</f>
      </c>
      <c r="G58" s="147" t="s">
        <v>13</v>
      </c>
      <c r="H58" s="96">
        <f>IF(G58="CORTESIA",0,D58*F58)</f>
      </c>
      <c r="I58" s="147" t="s">
        <v>22</v>
      </c>
      <c r="J58" s="147" t="s">
        <v>74</v>
      </c>
      <c r="K58" s="147"/>
      <c r="L58" s="2"/>
      <c r="M58" s="1"/>
      <c r="N58" s="1"/>
      <c r="O58" s="1"/>
    </row>
    <row x14ac:dyDescent="0.25" r="59" customHeight="1" ht="18.75" hidden="1">
      <c r="A59" s="65" t="s">
        <v>34</v>
      </c>
      <c r="B59" s="147" t="s">
        <v>90</v>
      </c>
      <c r="C59" s="66">
        <v>11915071973</v>
      </c>
      <c r="D59" s="66">
        <v>1</v>
      </c>
      <c r="E59" s="147" t="s">
        <v>78</v>
      </c>
      <c r="F59" s="96">
        <f>VLOOKUP(E59,CONFIGURAÇÃO!E:F,2,0)</f>
      </c>
      <c r="G59" s="147" t="s">
        <v>13</v>
      </c>
      <c r="H59" s="96">
        <f>IF(G59="CORTESIA",0,D59*F59)</f>
      </c>
      <c r="I59" s="147" t="s">
        <v>22</v>
      </c>
      <c r="J59" s="147" t="s">
        <v>74</v>
      </c>
      <c r="K59" s="147"/>
      <c r="L59" s="2"/>
      <c r="M59" s="1"/>
      <c r="N59" s="1"/>
      <c r="O59" s="1"/>
    </row>
    <row x14ac:dyDescent="0.25" r="60" customHeight="1" ht="18.75" hidden="1">
      <c r="A60" s="65" t="s">
        <v>34</v>
      </c>
      <c r="B60" s="147" t="s">
        <v>127</v>
      </c>
      <c r="C60" s="66">
        <v>11974067428</v>
      </c>
      <c r="D60" s="66">
        <v>1</v>
      </c>
      <c r="E60" s="147" t="s">
        <v>183</v>
      </c>
      <c r="F60" s="96">
        <f>VLOOKUP(E60,CONFIGURAÇÃO!E:F,2,0)</f>
      </c>
      <c r="G60" s="147" t="s">
        <v>13</v>
      </c>
      <c r="H60" s="96">
        <f>IF(G60="CORTESIA",0,D60*F60)</f>
      </c>
      <c r="I60" s="147" t="s">
        <v>22</v>
      </c>
      <c r="J60" s="147" t="s">
        <v>74</v>
      </c>
      <c r="K60" s="147"/>
      <c r="L60" s="2"/>
      <c r="M60" s="1"/>
      <c r="N60" s="1"/>
      <c r="O60" s="1"/>
    </row>
    <row x14ac:dyDescent="0.25" r="61" customHeight="1" ht="18.75" hidden="1">
      <c r="A61" s="65" t="s">
        <v>34</v>
      </c>
      <c r="B61" s="147" t="s">
        <v>382</v>
      </c>
      <c r="C61" s="66">
        <v>11914797854</v>
      </c>
      <c r="D61" s="66">
        <v>1</v>
      </c>
      <c r="E61" s="147" t="s">
        <v>78</v>
      </c>
      <c r="F61" s="96">
        <f>VLOOKUP(E61,CONFIGURAÇÃO!E:F,2,0)</f>
      </c>
      <c r="G61" s="147" t="s">
        <v>13</v>
      </c>
      <c r="H61" s="96">
        <f>IF(G61="CORTESIA",0,D61*F61)</f>
      </c>
      <c r="I61" s="147" t="s">
        <v>22</v>
      </c>
      <c r="J61" s="147" t="s">
        <v>74</v>
      </c>
      <c r="K61" s="147"/>
      <c r="L61" s="2"/>
      <c r="M61" s="1"/>
      <c r="N61" s="1"/>
      <c r="O61" s="1"/>
    </row>
    <row x14ac:dyDescent="0.25" r="62" customHeight="1" ht="18.75" hidden="1">
      <c r="A62" s="65" t="s">
        <v>34</v>
      </c>
      <c r="B62" s="34" t="s">
        <v>382</v>
      </c>
      <c r="C62" s="66">
        <v>11914797854</v>
      </c>
      <c r="D62" s="66">
        <v>1</v>
      </c>
      <c r="E62" s="147" t="s">
        <v>183</v>
      </c>
      <c r="F62" s="96">
        <f>VLOOKUP(E62,CONFIGURAÇÃO!E:F,2,0)</f>
      </c>
      <c r="G62" s="147" t="s">
        <v>13</v>
      </c>
      <c r="H62" s="96">
        <f>IF(G62="CORTESIA",0,D62*F62)</f>
      </c>
      <c r="I62" s="147" t="s">
        <v>22</v>
      </c>
      <c r="J62" s="147" t="s">
        <v>74</v>
      </c>
      <c r="K62" s="147"/>
      <c r="L62" s="2"/>
      <c r="M62" s="1"/>
      <c r="N62" s="1"/>
      <c r="O62" s="1"/>
    </row>
    <row x14ac:dyDescent="0.25" r="63" customHeight="1" ht="18.75" hidden="1">
      <c r="A63" s="65" t="s">
        <v>34</v>
      </c>
      <c r="B63" s="147" t="s">
        <v>378</v>
      </c>
      <c r="C63" s="66">
        <v>11968302654</v>
      </c>
      <c r="D63" s="66">
        <v>1</v>
      </c>
      <c r="E63" s="147" t="s">
        <v>78</v>
      </c>
      <c r="F63" s="96">
        <f>VLOOKUP(E63,CONFIGURAÇÃO!E:F,2,0)</f>
      </c>
      <c r="G63" s="147" t="s">
        <v>13</v>
      </c>
      <c r="H63" s="96">
        <f>IF(G63="CORTESIA",0,D63*F63)</f>
      </c>
      <c r="I63" s="147" t="s">
        <v>22</v>
      </c>
      <c r="J63" s="147" t="s">
        <v>74</v>
      </c>
      <c r="K63" s="147"/>
      <c r="L63" s="2"/>
      <c r="M63" s="1"/>
      <c r="N63" s="1"/>
      <c r="O63" s="1"/>
    </row>
    <row x14ac:dyDescent="0.25" r="64" customHeight="1" ht="18.75" hidden="1">
      <c r="A64" s="65" t="s">
        <v>34</v>
      </c>
      <c r="B64" s="147" t="s">
        <v>137</v>
      </c>
      <c r="C64" s="66">
        <v>11958078086</v>
      </c>
      <c r="D64" s="66">
        <v>1</v>
      </c>
      <c r="E64" s="147" t="s">
        <v>171</v>
      </c>
      <c r="F64" s="96">
        <f>VLOOKUP(E64,CONFIGURAÇÃO!E:F,2,0)</f>
      </c>
      <c r="G64" s="147" t="s">
        <v>13</v>
      </c>
      <c r="H64" s="96">
        <f>IF(G64="CORTESIA",0,D64*F64)</f>
      </c>
      <c r="I64" s="147" t="s">
        <v>22</v>
      </c>
      <c r="J64" s="147" t="s">
        <v>74</v>
      </c>
      <c r="K64" s="147"/>
      <c r="L64" s="2"/>
      <c r="M64" s="1"/>
      <c r="N64" s="1"/>
      <c r="O64" s="1"/>
    </row>
    <row x14ac:dyDescent="0.25" r="65" customHeight="1" ht="18.75" hidden="1">
      <c r="A65" s="65" t="s">
        <v>34</v>
      </c>
      <c r="B65" s="147" t="s">
        <v>137</v>
      </c>
      <c r="C65" s="66">
        <v>11958078086</v>
      </c>
      <c r="D65" s="66">
        <v>1</v>
      </c>
      <c r="E65" s="147" t="s">
        <v>78</v>
      </c>
      <c r="F65" s="96">
        <f>VLOOKUP(E65,CONFIGURAÇÃO!E:F,2,0)</f>
      </c>
      <c r="G65" s="147" t="s">
        <v>13</v>
      </c>
      <c r="H65" s="96">
        <f>IF(G65="CORTESIA",0,D65*F65)</f>
      </c>
      <c r="I65" s="147" t="s">
        <v>22</v>
      </c>
      <c r="J65" s="147" t="s">
        <v>74</v>
      </c>
      <c r="K65" s="147"/>
      <c r="L65" s="2"/>
      <c r="M65" s="1"/>
      <c r="N65" s="1"/>
      <c r="O65" s="1"/>
    </row>
    <row x14ac:dyDescent="0.25" r="66" customHeight="1" ht="18.75" hidden="1">
      <c r="A66" s="65" t="s">
        <v>34</v>
      </c>
      <c r="B66" s="147" t="s">
        <v>79</v>
      </c>
      <c r="C66" s="66">
        <v>11961271147</v>
      </c>
      <c r="D66" s="66">
        <v>1</v>
      </c>
      <c r="E66" s="147" t="s">
        <v>171</v>
      </c>
      <c r="F66" s="96">
        <f>VLOOKUP(E66,CONFIGURAÇÃO!E:F,2,0)</f>
      </c>
      <c r="G66" s="147" t="s">
        <v>13</v>
      </c>
      <c r="H66" s="96">
        <f>IF(G66="CORTESIA",0,D66*F66)</f>
      </c>
      <c r="I66" s="147" t="s">
        <v>22</v>
      </c>
      <c r="J66" s="147" t="s">
        <v>74</v>
      </c>
      <c r="K66" s="147"/>
      <c r="L66" s="2"/>
      <c r="M66" s="1"/>
      <c r="N66" s="1"/>
      <c r="O66" s="1"/>
    </row>
    <row x14ac:dyDescent="0.25" r="67" customHeight="1" ht="18.75" hidden="1">
      <c r="A67" s="65" t="s">
        <v>34</v>
      </c>
      <c r="B67" s="147" t="s">
        <v>129</v>
      </c>
      <c r="C67" s="66">
        <v>11994748434</v>
      </c>
      <c r="D67" s="66">
        <v>1</v>
      </c>
      <c r="E67" s="147" t="s">
        <v>183</v>
      </c>
      <c r="F67" s="96">
        <f>VLOOKUP(E67,CONFIGURAÇÃO!E:F,2,0)</f>
      </c>
      <c r="G67" s="147" t="s">
        <v>13</v>
      </c>
      <c r="H67" s="96">
        <f>IF(G67="CORTESIA",0,D67*F67)</f>
      </c>
      <c r="I67" s="147" t="s">
        <v>22</v>
      </c>
      <c r="J67" s="147" t="s">
        <v>74</v>
      </c>
      <c r="K67" s="147"/>
      <c r="L67" s="2"/>
      <c r="M67" s="1"/>
      <c r="N67" s="1"/>
      <c r="O67" s="1"/>
    </row>
    <row x14ac:dyDescent="0.25" r="68" customHeight="1" ht="18.75" hidden="1">
      <c r="A68" s="65" t="s">
        <v>34</v>
      </c>
      <c r="B68" s="147" t="s">
        <v>129</v>
      </c>
      <c r="C68" s="66">
        <v>11994748434</v>
      </c>
      <c r="D68" s="66">
        <v>1</v>
      </c>
      <c r="E68" s="147" t="s">
        <v>171</v>
      </c>
      <c r="F68" s="96">
        <f>VLOOKUP(E68,CONFIGURAÇÃO!E:F,2,0)</f>
      </c>
      <c r="G68" s="147" t="s">
        <v>13</v>
      </c>
      <c r="H68" s="96">
        <f>IF(G68="CORTESIA",0,D68*F68)</f>
      </c>
      <c r="I68" s="147" t="s">
        <v>22</v>
      </c>
      <c r="J68" s="147" t="s">
        <v>74</v>
      </c>
      <c r="K68" s="147"/>
      <c r="L68" s="2"/>
      <c r="M68" s="1"/>
      <c r="N68" s="1"/>
      <c r="O68" s="1"/>
    </row>
    <row x14ac:dyDescent="0.25" r="69" customHeight="1" ht="18.75" hidden="1">
      <c r="A69" s="65" t="s">
        <v>34</v>
      </c>
      <c r="B69" s="147" t="s">
        <v>355</v>
      </c>
      <c r="C69" s="66">
        <v>11977790257</v>
      </c>
      <c r="D69" s="66">
        <v>1</v>
      </c>
      <c r="E69" s="147" t="s">
        <v>171</v>
      </c>
      <c r="F69" s="96">
        <f>VLOOKUP(E69,CONFIGURAÇÃO!E:F,2,0)</f>
      </c>
      <c r="G69" s="147" t="s">
        <v>13</v>
      </c>
      <c r="H69" s="96">
        <f>IF(G69="CORTESIA",0,D69*F69)</f>
      </c>
      <c r="I69" s="147" t="s">
        <v>22</v>
      </c>
      <c r="J69" s="147" t="s">
        <v>74</v>
      </c>
      <c r="K69" s="147"/>
      <c r="L69" s="2"/>
      <c r="M69" s="1"/>
      <c r="N69" s="1"/>
      <c r="O69" s="1"/>
    </row>
    <row x14ac:dyDescent="0.25" r="70" customHeight="1" ht="18.75">
      <c r="A70" s="67" t="s">
        <v>34</v>
      </c>
      <c r="B70" s="149" t="s">
        <v>396</v>
      </c>
      <c r="C70" s="148">
        <v>11961245501</v>
      </c>
      <c r="D70" s="148">
        <v>1</v>
      </c>
      <c r="E70" s="149" t="s">
        <v>183</v>
      </c>
      <c r="F70" s="96">
        <f>VLOOKUP(E70,CONFIGURAÇÃO!E:F,2,0)</f>
      </c>
      <c r="G70" s="166" t="s">
        <v>73</v>
      </c>
      <c r="H70" s="96">
        <f>IF(G70="CORTESIA",0,D70*F70)</f>
      </c>
      <c r="I70" s="168" t="s">
        <v>59</v>
      </c>
      <c r="J70" s="149" t="s">
        <v>74</v>
      </c>
      <c r="K70" s="147" t="s">
        <v>393</v>
      </c>
      <c r="L70" s="2"/>
      <c r="M70" s="1"/>
      <c r="N70" s="1"/>
      <c r="O70" s="1"/>
    </row>
    <row x14ac:dyDescent="0.25" r="71" customHeight="1" ht="18.75" hidden="1">
      <c r="A71" s="65" t="s">
        <v>35</v>
      </c>
      <c r="B71" s="147" t="s">
        <v>383</v>
      </c>
      <c r="C71" s="66">
        <v>11997856707</v>
      </c>
      <c r="D71" s="66">
        <v>1</v>
      </c>
      <c r="E71" s="147" t="s">
        <v>78</v>
      </c>
      <c r="F71" s="96">
        <f>VLOOKUP(E71,CONFIGURAÇÃO!E:F,2,0)</f>
      </c>
      <c r="G71" s="147" t="s">
        <v>13</v>
      </c>
      <c r="H71" s="96">
        <f>IF(G71="CORTESIA",0,D71*F71)</f>
      </c>
      <c r="I71" s="147" t="s">
        <v>22</v>
      </c>
      <c r="J71" s="147" t="s">
        <v>74</v>
      </c>
      <c r="K71" s="147"/>
      <c r="L71" s="2"/>
      <c r="M71" s="1"/>
      <c r="N71" s="1"/>
      <c r="O71" s="1"/>
    </row>
    <row x14ac:dyDescent="0.25" r="72" customHeight="1" ht="18.75" hidden="1">
      <c r="A72" s="65" t="s">
        <v>35</v>
      </c>
      <c r="B72" s="147" t="s">
        <v>127</v>
      </c>
      <c r="C72" s="66">
        <v>11974067428</v>
      </c>
      <c r="D72" s="66">
        <v>1</v>
      </c>
      <c r="E72" s="147" t="s">
        <v>183</v>
      </c>
      <c r="F72" s="96">
        <f>VLOOKUP(E72,CONFIGURAÇÃO!E:F,2,0)</f>
      </c>
      <c r="G72" s="147" t="s">
        <v>13</v>
      </c>
      <c r="H72" s="96">
        <f>IF(G72="CORTESIA",0,D72*F72)</f>
      </c>
      <c r="I72" s="147" t="s">
        <v>22</v>
      </c>
      <c r="J72" s="147" t="s">
        <v>74</v>
      </c>
      <c r="K72" s="147"/>
      <c r="L72" s="2"/>
      <c r="M72" s="1"/>
      <c r="N72" s="1"/>
      <c r="O72" s="1"/>
    </row>
    <row x14ac:dyDescent="0.25" r="73" customHeight="1" ht="18.75" hidden="1">
      <c r="A73" s="65" t="s">
        <v>35</v>
      </c>
      <c r="B73" s="147" t="s">
        <v>404</v>
      </c>
      <c r="C73" s="66">
        <v>11945366759</v>
      </c>
      <c r="D73" s="66">
        <v>1</v>
      </c>
      <c r="E73" s="147" t="s">
        <v>183</v>
      </c>
      <c r="F73" s="96">
        <f>VLOOKUP(E73,CONFIGURAÇÃO!E:F,2,0)</f>
      </c>
      <c r="G73" s="147" t="s">
        <v>13</v>
      </c>
      <c r="H73" s="96">
        <f>IF(G73="CORTESIA",0,D73*F73)</f>
      </c>
      <c r="I73" s="147" t="s">
        <v>22</v>
      </c>
      <c r="J73" s="147" t="s">
        <v>74</v>
      </c>
      <c r="K73" s="147"/>
      <c r="L73" s="2"/>
      <c r="M73" s="1"/>
      <c r="N73" s="1"/>
      <c r="O73" s="1"/>
    </row>
    <row x14ac:dyDescent="0.25" r="74" customHeight="1" ht="18.75" hidden="1">
      <c r="A74" s="65" t="s">
        <v>35</v>
      </c>
      <c r="B74" s="147" t="s">
        <v>129</v>
      </c>
      <c r="C74" s="66">
        <v>11994748434</v>
      </c>
      <c r="D74" s="66">
        <v>1</v>
      </c>
      <c r="E74" s="147" t="s">
        <v>78</v>
      </c>
      <c r="F74" s="96">
        <f>VLOOKUP(E74,CONFIGURAÇÃO!E:F,2,0)</f>
      </c>
      <c r="G74" s="147" t="s">
        <v>13</v>
      </c>
      <c r="H74" s="96">
        <f>IF(G74="CORTESIA",0,D74*F74)</f>
      </c>
      <c r="I74" s="147" t="s">
        <v>22</v>
      </c>
      <c r="J74" s="147" t="s">
        <v>74</v>
      </c>
      <c r="K74" s="147"/>
      <c r="L74" s="2"/>
      <c r="M74" s="1"/>
      <c r="N74" s="1"/>
      <c r="O74" s="1"/>
    </row>
    <row x14ac:dyDescent="0.25" r="75" customHeight="1" ht="18.75" hidden="1">
      <c r="A75" s="65" t="s">
        <v>35</v>
      </c>
      <c r="B75" s="147" t="s">
        <v>405</v>
      </c>
      <c r="C75" s="66">
        <v>11943613294</v>
      </c>
      <c r="D75" s="66">
        <v>1</v>
      </c>
      <c r="E75" s="147" t="s">
        <v>183</v>
      </c>
      <c r="F75" s="96">
        <f>VLOOKUP(E75,CONFIGURAÇÃO!E:F,2,0)</f>
      </c>
      <c r="G75" s="147" t="s">
        <v>13</v>
      </c>
      <c r="H75" s="96">
        <f>IF(G75="CORTESIA",0,D75*F75)</f>
      </c>
      <c r="I75" s="147" t="s">
        <v>22</v>
      </c>
      <c r="J75" s="147" t="s">
        <v>74</v>
      </c>
      <c r="K75" s="147"/>
      <c r="L75" s="2"/>
      <c r="M75" s="1"/>
      <c r="N75" s="1"/>
      <c r="O75" s="1"/>
    </row>
    <row x14ac:dyDescent="0.25" r="76" customHeight="1" ht="18.75" hidden="1">
      <c r="A76" s="65" t="s">
        <v>35</v>
      </c>
      <c r="B76" s="147" t="s">
        <v>382</v>
      </c>
      <c r="C76" s="66">
        <v>11914797854</v>
      </c>
      <c r="D76" s="66">
        <v>1</v>
      </c>
      <c r="E76" s="147" t="s">
        <v>183</v>
      </c>
      <c r="F76" s="96">
        <f>VLOOKUP(E76,CONFIGURAÇÃO!E:F,2,0)</f>
      </c>
      <c r="G76" s="147" t="s">
        <v>13</v>
      </c>
      <c r="H76" s="96">
        <f>IF(G76="CORTESIA",0,D76*F76)</f>
      </c>
      <c r="I76" s="147" t="s">
        <v>22</v>
      </c>
      <c r="J76" s="147" t="s">
        <v>74</v>
      </c>
      <c r="K76" s="147"/>
      <c r="L76" s="2"/>
      <c r="M76" s="1"/>
      <c r="N76" s="1"/>
      <c r="O76" s="1"/>
    </row>
    <row x14ac:dyDescent="0.25" r="77" customHeight="1" ht="18.75" hidden="1">
      <c r="A77" s="65" t="s">
        <v>35</v>
      </c>
      <c r="B77" s="147" t="s">
        <v>403</v>
      </c>
      <c r="C77" s="66">
        <v>11963046707</v>
      </c>
      <c r="D77" s="66">
        <v>1</v>
      </c>
      <c r="E77" s="147" t="s">
        <v>183</v>
      </c>
      <c r="F77" s="96">
        <f>VLOOKUP(E77,CONFIGURAÇÃO!E:F,2,0)</f>
      </c>
      <c r="G77" s="147" t="s">
        <v>13</v>
      </c>
      <c r="H77" s="96">
        <f>IF(G77="CORTESIA",0,D77*F77)</f>
      </c>
      <c r="I77" s="147" t="s">
        <v>22</v>
      </c>
      <c r="J77" s="147" t="s">
        <v>74</v>
      </c>
      <c r="K77" s="147"/>
      <c r="L77" s="2"/>
      <c r="M77" s="1"/>
      <c r="N77" s="1"/>
      <c r="O77" s="1"/>
    </row>
    <row x14ac:dyDescent="0.25" r="78" customHeight="1" ht="18.75" hidden="1">
      <c r="A78" s="65" t="s">
        <v>35</v>
      </c>
      <c r="B78" s="147" t="s">
        <v>377</v>
      </c>
      <c r="C78" s="66">
        <v>11941559186</v>
      </c>
      <c r="D78" s="66">
        <v>1</v>
      </c>
      <c r="E78" s="147" t="s">
        <v>183</v>
      </c>
      <c r="F78" s="96">
        <f>VLOOKUP(E78,CONFIGURAÇÃO!E:F,2,0)</f>
      </c>
      <c r="G78" s="147" t="s">
        <v>13</v>
      </c>
      <c r="H78" s="96">
        <f>IF(G78="CORTESIA",0,D78*F78)</f>
      </c>
      <c r="I78" s="147" t="s">
        <v>22</v>
      </c>
      <c r="J78" s="147" t="s">
        <v>74</v>
      </c>
      <c r="K78" s="147"/>
      <c r="L78" s="2"/>
      <c r="M78" s="1"/>
      <c r="N78" s="1"/>
      <c r="O78" s="1"/>
    </row>
    <row x14ac:dyDescent="0.25" r="79" customHeight="1" ht="18.75">
      <c r="A79" s="67" t="s">
        <v>35</v>
      </c>
      <c r="B79" s="149" t="s">
        <v>406</v>
      </c>
      <c r="C79" s="148">
        <v>11911136088</v>
      </c>
      <c r="D79" s="148">
        <v>1</v>
      </c>
      <c r="E79" s="149" t="s">
        <v>183</v>
      </c>
      <c r="F79" s="96">
        <f>VLOOKUP(E79,CONFIGURAÇÃO!E:F,2,0)</f>
      </c>
      <c r="G79" s="166" t="s">
        <v>73</v>
      </c>
      <c r="H79" s="96">
        <f>IF(G79="CORTESIA",0,D79*F79)</f>
      </c>
      <c r="I79" s="168" t="s">
        <v>59</v>
      </c>
      <c r="J79" s="149" t="s">
        <v>74</v>
      </c>
      <c r="K79" s="147" t="s">
        <v>393</v>
      </c>
      <c r="L79" s="2"/>
      <c r="M79" s="1"/>
      <c r="N79" s="1"/>
      <c r="O79" s="1"/>
    </row>
    <row x14ac:dyDescent="0.25" r="80" customHeight="1" ht="18.75">
      <c r="A80" s="67" t="s">
        <v>35</v>
      </c>
      <c r="B80" s="149" t="s">
        <v>406</v>
      </c>
      <c r="C80" s="148">
        <v>11911136088</v>
      </c>
      <c r="D80" s="148">
        <v>1</v>
      </c>
      <c r="E80" s="149" t="s">
        <v>78</v>
      </c>
      <c r="F80" s="96">
        <f>VLOOKUP(E80,CONFIGURAÇÃO!E:F,2,0)</f>
      </c>
      <c r="G80" s="166" t="s">
        <v>73</v>
      </c>
      <c r="H80" s="96">
        <f>IF(G80="CORTESIA",0,D80*F80)</f>
      </c>
      <c r="I80" s="168" t="s">
        <v>59</v>
      </c>
      <c r="J80" s="149" t="s">
        <v>74</v>
      </c>
      <c r="K80" s="147" t="s">
        <v>393</v>
      </c>
      <c r="L80" s="2"/>
      <c r="M80" s="1"/>
      <c r="N80" s="1"/>
      <c r="O80" s="1"/>
    </row>
    <row x14ac:dyDescent="0.25" r="81" customHeight="1" ht="18.75">
      <c r="A81" s="67" t="s">
        <v>35</v>
      </c>
      <c r="B81" s="149" t="s">
        <v>407</v>
      </c>
      <c r="C81" s="148">
        <v>11916514225</v>
      </c>
      <c r="D81" s="148">
        <v>1</v>
      </c>
      <c r="E81" s="149" t="s">
        <v>183</v>
      </c>
      <c r="F81" s="96">
        <f>VLOOKUP(E81,CONFIGURAÇÃO!E:F,2,0)</f>
      </c>
      <c r="G81" s="166" t="s">
        <v>73</v>
      </c>
      <c r="H81" s="96">
        <f>IF(G81="CORTESIA",0,D81*F81)</f>
      </c>
      <c r="I81" s="168" t="s">
        <v>59</v>
      </c>
      <c r="J81" s="149" t="s">
        <v>74</v>
      </c>
      <c r="K81" s="147" t="s">
        <v>393</v>
      </c>
      <c r="L81" s="2"/>
      <c r="M81" s="1"/>
      <c r="N81" s="1"/>
      <c r="O81" s="1"/>
    </row>
    <row x14ac:dyDescent="0.25" r="82" customHeight="1" ht="18.75">
      <c r="A82" s="67" t="s">
        <v>35</v>
      </c>
      <c r="B82" s="149" t="s">
        <v>408</v>
      </c>
      <c r="C82" s="148">
        <v>11999338986</v>
      </c>
      <c r="D82" s="148">
        <v>1</v>
      </c>
      <c r="E82" s="149" t="s">
        <v>183</v>
      </c>
      <c r="F82" s="96">
        <f>VLOOKUP(E82,CONFIGURAÇÃO!E:F,2,0)</f>
      </c>
      <c r="G82" s="166" t="s">
        <v>73</v>
      </c>
      <c r="H82" s="96">
        <f>IF(G82="CORTESIA",0,D82*F82)</f>
      </c>
      <c r="I82" s="168" t="s">
        <v>59</v>
      </c>
      <c r="J82" s="149" t="s">
        <v>74</v>
      </c>
      <c r="K82" s="147" t="s">
        <v>393</v>
      </c>
      <c r="L82" s="2"/>
      <c r="M82" s="1"/>
      <c r="N82" s="1"/>
      <c r="O82" s="1"/>
    </row>
    <row x14ac:dyDescent="0.25" r="83" customHeight="1" ht="18.75">
      <c r="A83" s="67" t="s">
        <v>35</v>
      </c>
      <c r="B83" s="149" t="s">
        <v>409</v>
      </c>
      <c r="C83" s="148"/>
      <c r="D83" s="148">
        <v>1</v>
      </c>
      <c r="E83" s="149" t="s">
        <v>78</v>
      </c>
      <c r="F83" s="96">
        <f>VLOOKUP(E83,CONFIGURAÇÃO!E:F,2,0)</f>
      </c>
      <c r="G83" s="167" t="s">
        <v>13</v>
      </c>
      <c r="H83" s="96">
        <f>IF(G83="CORTESIA",0,D83*F83)</f>
      </c>
      <c r="I83" s="168" t="s">
        <v>59</v>
      </c>
      <c r="J83" s="149" t="s">
        <v>74</v>
      </c>
      <c r="K83" s="149" t="s">
        <v>410</v>
      </c>
      <c r="L83" s="2"/>
      <c r="M83" s="1"/>
      <c r="N83" s="1"/>
      <c r="O83" s="1"/>
    </row>
    <row x14ac:dyDescent="0.25" r="84" customHeight="1" ht="18.75">
      <c r="A84" s="67" t="s">
        <v>35</v>
      </c>
      <c r="B84" s="149" t="s">
        <v>411</v>
      </c>
      <c r="C84" s="148">
        <v>11961786623</v>
      </c>
      <c r="D84" s="148">
        <v>1</v>
      </c>
      <c r="E84" s="149" t="s">
        <v>183</v>
      </c>
      <c r="F84" s="96">
        <f>VLOOKUP(E84,CONFIGURAÇÃO!E:F,2,0)</f>
      </c>
      <c r="G84" s="166" t="s">
        <v>13</v>
      </c>
      <c r="H84" s="96">
        <f>IF(G84="CORTESIA",0,D84*F84)</f>
      </c>
      <c r="I84" s="168" t="s">
        <v>59</v>
      </c>
      <c r="J84" s="149" t="s">
        <v>74</v>
      </c>
      <c r="K84" s="149"/>
      <c r="L84" s="2"/>
      <c r="M84" s="1"/>
      <c r="N84" s="1"/>
      <c r="O84" s="1"/>
    </row>
    <row x14ac:dyDescent="0.25" r="85" customHeight="1" ht="18.75">
      <c r="A85" s="67" t="s">
        <v>36</v>
      </c>
      <c r="B85" s="149" t="s">
        <v>412</v>
      </c>
      <c r="C85" s="148">
        <v>11947795210</v>
      </c>
      <c r="D85" s="148">
        <v>1</v>
      </c>
      <c r="E85" s="149" t="s">
        <v>183</v>
      </c>
      <c r="F85" s="96">
        <f>VLOOKUP(E85,CONFIGURAÇÃO!E:F,2,0)</f>
      </c>
      <c r="G85" s="167" t="s">
        <v>13</v>
      </c>
      <c r="H85" s="96">
        <f>IF(G85="CORTESIA",0,D85*F85)</f>
      </c>
      <c r="I85" s="168" t="s">
        <v>59</v>
      </c>
      <c r="J85" s="149" t="s">
        <v>74</v>
      </c>
      <c r="K85" s="149"/>
      <c r="L85" s="2"/>
      <c r="M85" s="1"/>
      <c r="N85" s="1"/>
      <c r="O85" s="1"/>
    </row>
    <row x14ac:dyDescent="0.25" r="86" customHeight="1" ht="18.75">
      <c r="A86" s="67" t="s">
        <v>36</v>
      </c>
      <c r="B86" s="149" t="s">
        <v>413</v>
      </c>
      <c r="C86" s="148"/>
      <c r="D86" s="148">
        <v>1</v>
      </c>
      <c r="E86" s="149" t="s">
        <v>78</v>
      </c>
      <c r="F86" s="96">
        <f>VLOOKUP(E86,CONFIGURAÇÃO!E:F,2,0)</f>
      </c>
      <c r="G86" s="167" t="s">
        <v>13</v>
      </c>
      <c r="H86" s="96">
        <f>IF(G86="CORTESIA",0,D86*F86)</f>
      </c>
      <c r="I86" s="168" t="s">
        <v>59</v>
      </c>
      <c r="J86" s="149" t="s">
        <v>74</v>
      </c>
      <c r="K86" s="149"/>
      <c r="L86" s="2"/>
      <c r="M86" s="1"/>
      <c r="N86" s="1"/>
      <c r="O86" s="1"/>
    </row>
    <row x14ac:dyDescent="0.25" r="87" customHeight="1" ht="18.75">
      <c r="A87" s="67" t="s">
        <v>36</v>
      </c>
      <c r="B87" s="149" t="s">
        <v>414</v>
      </c>
      <c r="C87" s="148"/>
      <c r="D87" s="148">
        <v>3</v>
      </c>
      <c r="E87" s="149" t="s">
        <v>78</v>
      </c>
      <c r="F87" s="96">
        <f>VLOOKUP(E87,CONFIGURAÇÃO!E:F,2,0)</f>
      </c>
      <c r="G87" s="167" t="s">
        <v>13</v>
      </c>
      <c r="H87" s="96">
        <f>IF(G87="CORTESIA",0,D87*F87)</f>
      </c>
      <c r="I87" s="168" t="s">
        <v>59</v>
      </c>
      <c r="J87" s="149" t="s">
        <v>74</v>
      </c>
      <c r="K87" s="149"/>
      <c r="L87" s="2"/>
      <c r="M87" s="1"/>
      <c r="N87" s="1"/>
      <c r="O87" s="1"/>
    </row>
    <row x14ac:dyDescent="0.25" r="88" customHeight="1" ht="18.75">
      <c r="A88" s="67" t="s">
        <v>36</v>
      </c>
      <c r="B88" s="149" t="s">
        <v>415</v>
      </c>
      <c r="C88" s="148"/>
      <c r="D88" s="148">
        <v>1</v>
      </c>
      <c r="E88" s="149" t="s">
        <v>78</v>
      </c>
      <c r="F88" s="96">
        <f>VLOOKUP(E88,CONFIGURAÇÃO!E:F,2,0)</f>
      </c>
      <c r="G88" s="167" t="s">
        <v>13</v>
      </c>
      <c r="H88" s="96">
        <f>IF(G88="CORTESIA",0,D88*F88)</f>
      </c>
      <c r="I88" s="168" t="s">
        <v>59</v>
      </c>
      <c r="J88" s="149" t="s">
        <v>74</v>
      </c>
      <c r="K88" s="149"/>
      <c r="L88" s="2"/>
      <c r="M88" s="1"/>
      <c r="N88" s="1"/>
      <c r="O88" s="1"/>
    </row>
    <row x14ac:dyDescent="0.25" r="89" customHeight="1" ht="18.75">
      <c r="A89" s="67" t="s">
        <v>36</v>
      </c>
      <c r="B89" s="149" t="s">
        <v>416</v>
      </c>
      <c r="C89" s="148">
        <v>11930401950</v>
      </c>
      <c r="D89" s="148">
        <v>1</v>
      </c>
      <c r="E89" s="149" t="s">
        <v>78</v>
      </c>
      <c r="F89" s="96">
        <f>VLOOKUP(E89,CONFIGURAÇÃO!E:F,2,0)</f>
      </c>
      <c r="G89" s="167" t="s">
        <v>13</v>
      </c>
      <c r="H89" s="96">
        <f>IF(G89="CORTESIA",0,D89*F89)</f>
      </c>
      <c r="I89" s="147" t="s">
        <v>59</v>
      </c>
      <c r="J89" s="149" t="s">
        <v>74</v>
      </c>
      <c r="K89" s="149"/>
      <c r="L89" s="2"/>
      <c r="M89" s="1"/>
      <c r="N89" s="1"/>
      <c r="O89" s="1"/>
    </row>
    <row x14ac:dyDescent="0.25" r="90" customHeight="1" ht="18.75">
      <c r="A90" s="67" t="s">
        <v>36</v>
      </c>
      <c r="B90" s="149" t="s">
        <v>417</v>
      </c>
      <c r="C90" s="148">
        <v>11961446999</v>
      </c>
      <c r="D90" s="148">
        <v>1</v>
      </c>
      <c r="E90" s="149" t="s">
        <v>78</v>
      </c>
      <c r="F90" s="96">
        <f>VLOOKUP(E90,CONFIGURAÇÃO!E:F,2,0)</f>
      </c>
      <c r="G90" s="166" t="s">
        <v>73</v>
      </c>
      <c r="H90" s="96">
        <f>IF(G90="CORTESIA",0,D90*F90)</f>
      </c>
      <c r="I90" s="147" t="s">
        <v>59</v>
      </c>
      <c r="J90" s="149" t="s">
        <v>74</v>
      </c>
      <c r="K90" s="147" t="s">
        <v>393</v>
      </c>
      <c r="L90" s="2"/>
      <c r="M90" s="1"/>
      <c r="N90" s="1"/>
      <c r="O90" s="1"/>
    </row>
    <row x14ac:dyDescent="0.25" r="91" customHeight="1" ht="18.75" hidden="1">
      <c r="A91" s="65" t="s">
        <v>37</v>
      </c>
      <c r="B91" s="147" t="s">
        <v>397</v>
      </c>
      <c r="C91" s="66">
        <v>11934673696</v>
      </c>
      <c r="D91" s="66">
        <v>2</v>
      </c>
      <c r="E91" s="147" t="s">
        <v>78</v>
      </c>
      <c r="F91" s="96">
        <f>VLOOKUP(E91,CONFIGURAÇÃO!E:F,2,0)</f>
      </c>
      <c r="G91" s="147" t="s">
        <v>13</v>
      </c>
      <c r="H91" s="96">
        <f>IF(G91="CORTESIA",0,D91*F91)</f>
      </c>
      <c r="I91" s="147" t="s">
        <v>22</v>
      </c>
      <c r="J91" s="147" t="s">
        <v>74</v>
      </c>
      <c r="K91" s="147"/>
      <c r="L91" s="2"/>
      <c r="M91" s="1"/>
      <c r="N91" s="1"/>
      <c r="O91" s="1"/>
    </row>
    <row x14ac:dyDescent="0.25" r="92" customHeight="1" ht="18.75" hidden="1">
      <c r="A92" s="65" t="s">
        <v>37</v>
      </c>
      <c r="B92" s="147" t="s">
        <v>382</v>
      </c>
      <c r="C92" s="66">
        <v>11914797854</v>
      </c>
      <c r="D92" s="66">
        <v>1</v>
      </c>
      <c r="E92" s="147" t="s">
        <v>78</v>
      </c>
      <c r="F92" s="96">
        <f>VLOOKUP(E92,CONFIGURAÇÃO!E:F,2,0)</f>
      </c>
      <c r="G92" s="147" t="s">
        <v>13</v>
      </c>
      <c r="H92" s="96">
        <f>IF(G92="CORTESIA",0,D92*F92)</f>
      </c>
      <c r="I92" s="147" t="s">
        <v>22</v>
      </c>
      <c r="J92" s="147" t="s">
        <v>74</v>
      </c>
      <c r="K92" s="147"/>
      <c r="L92" s="2"/>
      <c r="M92" s="1"/>
      <c r="N92" s="1"/>
      <c r="O92" s="1"/>
    </row>
    <row x14ac:dyDescent="0.25" r="93" customHeight="1" ht="18.75" hidden="1">
      <c r="A93" s="65" t="s">
        <v>37</v>
      </c>
      <c r="B93" s="147" t="s">
        <v>379</v>
      </c>
      <c r="C93" s="66">
        <v>11915146426</v>
      </c>
      <c r="D93" s="66">
        <v>1</v>
      </c>
      <c r="E93" s="147" t="s">
        <v>78</v>
      </c>
      <c r="F93" s="96">
        <f>VLOOKUP(E93,CONFIGURAÇÃO!E:F,2,0)</f>
      </c>
      <c r="G93" s="147" t="s">
        <v>13</v>
      </c>
      <c r="H93" s="96">
        <f>IF(G93="CORTESIA",0,D93*F93)</f>
      </c>
      <c r="I93" s="147" t="s">
        <v>22</v>
      </c>
      <c r="J93" s="147" t="s">
        <v>74</v>
      </c>
      <c r="K93" s="147"/>
      <c r="L93" s="2"/>
      <c r="M93" s="1"/>
      <c r="N93" s="1"/>
      <c r="O93" s="1"/>
    </row>
    <row x14ac:dyDescent="0.25" r="94" customHeight="1" ht="18.75" hidden="1">
      <c r="A94" s="65" t="s">
        <v>37</v>
      </c>
      <c r="B94" s="147" t="s">
        <v>129</v>
      </c>
      <c r="C94" s="66">
        <v>11994748434</v>
      </c>
      <c r="D94" s="66">
        <v>1</v>
      </c>
      <c r="E94" s="147" t="s">
        <v>78</v>
      </c>
      <c r="F94" s="96">
        <f>VLOOKUP(E94,CONFIGURAÇÃO!E:F,2,0)</f>
      </c>
      <c r="G94" s="147" t="s">
        <v>13</v>
      </c>
      <c r="H94" s="96">
        <f>IF(G94="CORTESIA",0,D94*F94)</f>
      </c>
      <c r="I94" s="147" t="s">
        <v>22</v>
      </c>
      <c r="J94" s="147" t="s">
        <v>74</v>
      </c>
      <c r="K94" s="147"/>
      <c r="L94" s="2"/>
      <c r="M94" s="1"/>
      <c r="N94" s="1"/>
      <c r="O94" s="1"/>
    </row>
    <row x14ac:dyDescent="0.25" r="95" customHeight="1" ht="18.75">
      <c r="A95" s="67" t="s">
        <v>37</v>
      </c>
      <c r="B95" s="149" t="s">
        <v>368</v>
      </c>
      <c r="C95" s="148">
        <v>11934345107</v>
      </c>
      <c r="D95" s="148">
        <v>1</v>
      </c>
      <c r="E95" s="149" t="s">
        <v>78</v>
      </c>
      <c r="F95" s="96">
        <f>VLOOKUP(E95,CONFIGURAÇÃO!E:F,2,0)</f>
      </c>
      <c r="G95" s="166" t="s">
        <v>13</v>
      </c>
      <c r="H95" s="96">
        <f>IF(G95="CORTESIA",0,D95*F95)</f>
      </c>
      <c r="I95" s="147" t="s">
        <v>59</v>
      </c>
      <c r="J95" s="149" t="s">
        <v>74</v>
      </c>
      <c r="K95" s="149"/>
      <c r="L95" s="2"/>
      <c r="M95" s="1"/>
      <c r="N95" s="1"/>
      <c r="O95" s="1"/>
    </row>
    <row x14ac:dyDescent="0.25" r="96" customHeight="1" ht="18.75">
      <c r="A96" s="67" t="s">
        <v>37</v>
      </c>
      <c r="B96" s="149" t="s">
        <v>322</v>
      </c>
      <c r="C96" s="148">
        <v>11956559415</v>
      </c>
      <c r="D96" s="148">
        <v>1</v>
      </c>
      <c r="E96" s="149" t="s">
        <v>78</v>
      </c>
      <c r="F96" s="96">
        <f>VLOOKUP(E96,CONFIGURAÇÃO!E:F,2,0)</f>
      </c>
      <c r="G96" s="166" t="s">
        <v>13</v>
      </c>
      <c r="H96" s="96">
        <f>IF(G96="CORTESIA",0,D96*F96)</f>
      </c>
      <c r="I96" s="147" t="s">
        <v>59</v>
      </c>
      <c r="J96" s="149" t="s">
        <v>74</v>
      </c>
      <c r="K96" s="149"/>
      <c r="L96" s="2"/>
      <c r="M96" s="1"/>
      <c r="N96" s="1"/>
      <c r="O96" s="1"/>
    </row>
    <row x14ac:dyDescent="0.25" r="97" customHeight="1" ht="18.75">
      <c r="A97" s="67" t="s">
        <v>37</v>
      </c>
      <c r="B97" s="149" t="s">
        <v>418</v>
      </c>
      <c r="C97" s="148">
        <v>11913278423</v>
      </c>
      <c r="D97" s="148">
        <v>1</v>
      </c>
      <c r="E97" s="149" t="s">
        <v>78</v>
      </c>
      <c r="F97" s="96">
        <f>VLOOKUP(E97,CONFIGURAÇÃO!E:F,2,0)</f>
      </c>
      <c r="G97" s="166" t="s">
        <v>13</v>
      </c>
      <c r="H97" s="96">
        <f>IF(G97="CORTESIA",0,D97*F97)</f>
      </c>
      <c r="I97" s="147" t="s">
        <v>59</v>
      </c>
      <c r="J97" s="149" t="s">
        <v>74</v>
      </c>
      <c r="K97" s="149"/>
      <c r="L97" s="2"/>
      <c r="M97" s="1"/>
      <c r="N97" s="1"/>
      <c r="O97" s="1"/>
    </row>
    <row x14ac:dyDescent="0.25" r="98" customHeight="1" ht="18.75">
      <c r="A98" s="67" t="s">
        <v>37</v>
      </c>
      <c r="B98" s="149" t="s">
        <v>419</v>
      </c>
      <c r="C98" s="148">
        <v>11957134404</v>
      </c>
      <c r="D98" s="148">
        <v>1</v>
      </c>
      <c r="E98" s="149" t="s">
        <v>78</v>
      </c>
      <c r="F98" s="96">
        <f>VLOOKUP(E98,CONFIGURAÇÃO!E:F,2,0)</f>
      </c>
      <c r="G98" s="166" t="s">
        <v>13</v>
      </c>
      <c r="H98" s="96">
        <f>IF(G98="CORTESIA",0,D98*F98)</f>
      </c>
      <c r="I98" s="147" t="s">
        <v>59</v>
      </c>
      <c r="J98" s="149" t="s">
        <v>74</v>
      </c>
      <c r="K98" s="149"/>
      <c r="L98" s="2"/>
      <c r="M98" s="1"/>
      <c r="N98" s="1"/>
      <c r="O98" s="1"/>
    </row>
    <row x14ac:dyDescent="0.25" r="99" customHeight="1" ht="18.75">
      <c r="A99" s="67" t="s">
        <v>37</v>
      </c>
      <c r="B99" s="149" t="s">
        <v>420</v>
      </c>
      <c r="C99" s="148">
        <v>11946028455</v>
      </c>
      <c r="D99" s="148">
        <v>1</v>
      </c>
      <c r="E99" s="149" t="s">
        <v>78</v>
      </c>
      <c r="F99" s="96">
        <f>VLOOKUP(E99,CONFIGURAÇÃO!E:F,2,0)</f>
      </c>
      <c r="G99" s="166" t="s">
        <v>73</v>
      </c>
      <c r="H99" s="96">
        <f>IF(G99="CORTESIA",0,D99*F99)</f>
      </c>
      <c r="I99" s="147" t="s">
        <v>59</v>
      </c>
      <c r="J99" s="149" t="s">
        <v>74</v>
      </c>
      <c r="K99" s="147" t="s">
        <v>393</v>
      </c>
      <c r="L99" s="2"/>
      <c r="M99" s="1"/>
      <c r="N99" s="1"/>
      <c r="O99" s="1"/>
    </row>
    <row x14ac:dyDescent="0.25" r="100" customHeight="1" ht="18.75">
      <c r="A100" s="67" t="s">
        <v>37</v>
      </c>
      <c r="B100" s="149" t="s">
        <v>421</v>
      </c>
      <c r="C100" s="148">
        <v>11911036051</v>
      </c>
      <c r="D100" s="148">
        <v>1</v>
      </c>
      <c r="E100" s="149" t="s">
        <v>78</v>
      </c>
      <c r="F100" s="96">
        <f>VLOOKUP(E100,CONFIGURAÇÃO!E:F,2,0)</f>
      </c>
      <c r="G100" s="166" t="s">
        <v>73</v>
      </c>
      <c r="H100" s="96">
        <f>IF(G100="CORTESIA",0,D100*F100)</f>
      </c>
      <c r="I100" s="147" t="s">
        <v>59</v>
      </c>
      <c r="J100" s="149" t="s">
        <v>74</v>
      </c>
      <c r="K100" s="147"/>
      <c r="L100" s="2"/>
      <c r="M100" s="1"/>
      <c r="N100" s="1"/>
      <c r="O100" s="1"/>
    </row>
    <row x14ac:dyDescent="0.25" r="101" customHeight="1" ht="18.75">
      <c r="A101" s="67" t="s">
        <v>37</v>
      </c>
      <c r="B101" s="149" t="s">
        <v>312</v>
      </c>
      <c r="C101" s="148">
        <v>11957241015</v>
      </c>
      <c r="D101" s="148">
        <v>1</v>
      </c>
      <c r="E101" s="149" t="s">
        <v>78</v>
      </c>
      <c r="F101" s="96">
        <f>VLOOKUP(E101,CONFIGURAÇÃO!E:F,2,0)</f>
      </c>
      <c r="G101" s="166" t="s">
        <v>13</v>
      </c>
      <c r="H101" s="96">
        <f>IF(G101="CORTESIA",0,D101*F101)</f>
      </c>
      <c r="I101" s="147" t="s">
        <v>59</v>
      </c>
      <c r="J101" s="149" t="s">
        <v>74</v>
      </c>
      <c r="K101" s="149" t="s">
        <v>385</v>
      </c>
      <c r="L101" s="2"/>
      <c r="M101" s="1"/>
      <c r="N101" s="1"/>
      <c r="O101" s="1"/>
    </row>
    <row x14ac:dyDescent="0.25" r="102" customHeight="1" ht="18.75">
      <c r="A102" s="67" t="s">
        <v>37</v>
      </c>
      <c r="B102" s="149" t="s">
        <v>422</v>
      </c>
      <c r="C102" s="148">
        <v>11936182364</v>
      </c>
      <c r="D102" s="148">
        <v>1</v>
      </c>
      <c r="E102" s="149" t="s">
        <v>78</v>
      </c>
      <c r="F102" s="96">
        <f>VLOOKUP(E102,CONFIGURAÇÃO!E:F,2,0)</f>
      </c>
      <c r="G102" s="166" t="s">
        <v>13</v>
      </c>
      <c r="H102" s="96">
        <f>IF(G102="CORTESIA",0,D102*F102)</f>
      </c>
      <c r="I102" s="147" t="s">
        <v>59</v>
      </c>
      <c r="J102" s="149" t="s">
        <v>74</v>
      </c>
      <c r="K102" s="149"/>
      <c r="L102" s="2"/>
      <c r="M102" s="1"/>
      <c r="N102" s="1"/>
      <c r="O102" s="1"/>
    </row>
    <row x14ac:dyDescent="0.25" r="103" customHeight="1" ht="18.75">
      <c r="A103" s="67" t="s">
        <v>37</v>
      </c>
      <c r="B103" s="149" t="s">
        <v>423</v>
      </c>
      <c r="C103" s="148">
        <v>11941455639</v>
      </c>
      <c r="D103" s="148">
        <v>1</v>
      </c>
      <c r="E103" s="149" t="s">
        <v>78</v>
      </c>
      <c r="F103" s="96">
        <f>VLOOKUP(E103,CONFIGURAÇÃO!E:F,2,0)</f>
      </c>
      <c r="G103" s="166" t="s">
        <v>13</v>
      </c>
      <c r="H103" s="96">
        <f>IF(G103="CORTESIA",0,D103*F103)</f>
      </c>
      <c r="I103" s="147" t="s">
        <v>59</v>
      </c>
      <c r="J103" s="149" t="s">
        <v>74</v>
      </c>
      <c r="K103" s="149" t="s">
        <v>385</v>
      </c>
      <c r="L103" s="2"/>
      <c r="M103" s="1"/>
      <c r="N103" s="1"/>
      <c r="O103" s="1"/>
    </row>
    <row x14ac:dyDescent="0.25" r="104" customHeight="1" ht="18.75">
      <c r="A104" s="67" t="s">
        <v>37</v>
      </c>
      <c r="B104" s="149" t="s">
        <v>424</v>
      </c>
      <c r="C104" s="148">
        <v>11932597821</v>
      </c>
      <c r="D104" s="148">
        <v>1</v>
      </c>
      <c r="E104" s="149" t="s">
        <v>78</v>
      </c>
      <c r="F104" s="96">
        <f>VLOOKUP(E104,CONFIGURAÇÃO!E:F,2,0)</f>
      </c>
      <c r="G104" s="166" t="s">
        <v>73</v>
      </c>
      <c r="H104" s="96">
        <f>IF(G104="CORTESIA",0,D104*F104)</f>
      </c>
      <c r="I104" s="147" t="s">
        <v>59</v>
      </c>
      <c r="J104" s="149" t="s">
        <v>74</v>
      </c>
      <c r="K104" s="149" t="s">
        <v>385</v>
      </c>
      <c r="L104" s="2"/>
      <c r="M104" s="1"/>
      <c r="N104" s="1"/>
      <c r="O104" s="1"/>
    </row>
    <row x14ac:dyDescent="0.25" r="105" customHeight="1" ht="18.75">
      <c r="A105" s="67" t="s">
        <v>37</v>
      </c>
      <c r="B105" s="149" t="s">
        <v>425</v>
      </c>
      <c r="C105" s="148">
        <v>11915808149</v>
      </c>
      <c r="D105" s="148">
        <v>1</v>
      </c>
      <c r="E105" s="149" t="s">
        <v>78</v>
      </c>
      <c r="F105" s="96">
        <f>VLOOKUP(E105,CONFIGURAÇÃO!E:F,2,0)</f>
      </c>
      <c r="G105" s="166" t="s">
        <v>13</v>
      </c>
      <c r="H105" s="96">
        <f>IF(G105="CORTESIA",0,D105*F105)</f>
      </c>
      <c r="I105" s="147" t="s">
        <v>59</v>
      </c>
      <c r="J105" s="149" t="s">
        <v>74</v>
      </c>
      <c r="K105" s="149"/>
      <c r="L105" s="2"/>
      <c r="M105" s="1"/>
      <c r="N105" s="1"/>
      <c r="O105" s="1"/>
    </row>
    <row x14ac:dyDescent="0.25" r="106" customHeight="1" ht="18.75">
      <c r="A106" s="67" t="s">
        <v>37</v>
      </c>
      <c r="B106" s="149" t="s">
        <v>329</v>
      </c>
      <c r="C106" s="148">
        <v>11991695773</v>
      </c>
      <c r="D106" s="148">
        <v>1</v>
      </c>
      <c r="E106" s="149" t="s">
        <v>78</v>
      </c>
      <c r="F106" s="96">
        <f>VLOOKUP(E106,CONFIGURAÇÃO!E:F,2,0)</f>
      </c>
      <c r="G106" s="166" t="s">
        <v>13</v>
      </c>
      <c r="H106" s="96">
        <f>IF(G106="CORTESIA",0,D106*F106)</f>
      </c>
      <c r="I106" s="147" t="s">
        <v>59</v>
      </c>
      <c r="J106" s="149" t="s">
        <v>74</v>
      </c>
      <c r="K106" s="149" t="s">
        <v>385</v>
      </c>
      <c r="L106" s="2"/>
      <c r="M106" s="1"/>
      <c r="N106" s="1"/>
      <c r="O106" s="1"/>
    </row>
    <row x14ac:dyDescent="0.25" r="107" customHeight="1" ht="18.75">
      <c r="A107" s="67" t="s">
        <v>37</v>
      </c>
      <c r="B107" s="149" t="s">
        <v>426</v>
      </c>
      <c r="C107" s="148">
        <v>11920071045</v>
      </c>
      <c r="D107" s="148">
        <v>1</v>
      </c>
      <c r="E107" s="149" t="s">
        <v>78</v>
      </c>
      <c r="F107" s="96">
        <f>VLOOKUP(E107,CONFIGURAÇÃO!E:F,2,0)</f>
      </c>
      <c r="G107" s="166" t="s">
        <v>13</v>
      </c>
      <c r="H107" s="96">
        <f>IF(G107="CORTESIA",0,D107*F107)</f>
      </c>
      <c r="I107" s="147" t="s">
        <v>59</v>
      </c>
      <c r="J107" s="149" t="s">
        <v>74</v>
      </c>
      <c r="K107" s="149" t="s">
        <v>385</v>
      </c>
      <c r="L107" s="2"/>
      <c r="M107" s="1"/>
      <c r="N107" s="1"/>
      <c r="O107" s="1"/>
    </row>
    <row x14ac:dyDescent="0.25" r="108" customHeight="1" ht="18.75">
      <c r="A108" s="67" t="s">
        <v>37</v>
      </c>
      <c r="B108" s="149" t="s">
        <v>427</v>
      </c>
      <c r="C108" s="148">
        <v>11987159059</v>
      </c>
      <c r="D108" s="148">
        <v>1</v>
      </c>
      <c r="E108" s="149" t="s">
        <v>78</v>
      </c>
      <c r="F108" s="96">
        <f>VLOOKUP(E108,CONFIGURAÇÃO!E:F,2,0)</f>
      </c>
      <c r="G108" s="166" t="s">
        <v>73</v>
      </c>
      <c r="H108" s="96">
        <f>IF(G108="CORTESIA",0,D108*F108)</f>
      </c>
      <c r="I108" s="147" t="s">
        <v>59</v>
      </c>
      <c r="J108" s="149" t="s">
        <v>74</v>
      </c>
      <c r="K108" s="149" t="s">
        <v>428</v>
      </c>
      <c r="L108" s="2"/>
      <c r="M108" s="1"/>
      <c r="N108" s="1"/>
      <c r="O108" s="1"/>
    </row>
    <row x14ac:dyDescent="0.25" r="109" customHeight="1" ht="18.75">
      <c r="A109" s="67" t="s">
        <v>38</v>
      </c>
      <c r="B109" s="149" t="s">
        <v>396</v>
      </c>
      <c r="C109" s="148">
        <v>11961245501</v>
      </c>
      <c r="D109" s="148">
        <v>2</v>
      </c>
      <c r="E109" s="149" t="s">
        <v>78</v>
      </c>
      <c r="F109" s="96">
        <f>VLOOKUP(E109,CONFIGURAÇÃO!E:F,2,0)</f>
      </c>
      <c r="G109" s="166" t="s">
        <v>73</v>
      </c>
      <c r="H109" s="96">
        <f>IF(G109="CORTESIA",0,D109*F109)</f>
      </c>
      <c r="I109" s="147" t="s">
        <v>59</v>
      </c>
      <c r="J109" s="149" t="s">
        <v>74</v>
      </c>
      <c r="K109" s="147" t="s">
        <v>393</v>
      </c>
      <c r="L109" s="2"/>
      <c r="M109" s="1"/>
      <c r="N109" s="1"/>
      <c r="O109" s="1"/>
    </row>
    <row x14ac:dyDescent="0.25" r="110" customHeight="1" ht="18.75">
      <c r="A110" s="67" t="s">
        <v>38</v>
      </c>
      <c r="B110" s="149" t="s">
        <v>419</v>
      </c>
      <c r="C110" s="148">
        <v>11957134404</v>
      </c>
      <c r="D110" s="148">
        <v>1</v>
      </c>
      <c r="E110" s="149" t="s">
        <v>78</v>
      </c>
      <c r="F110" s="96">
        <f>VLOOKUP(E110,CONFIGURAÇÃO!E:F,2,0)</f>
      </c>
      <c r="G110" s="166" t="s">
        <v>13</v>
      </c>
      <c r="H110" s="96">
        <f>IF(G110="CORTESIA",0,D110*F110)</f>
      </c>
      <c r="I110" s="147" t="s">
        <v>59</v>
      </c>
      <c r="J110" s="149" t="s">
        <v>74</v>
      </c>
      <c r="K110" s="149"/>
      <c r="L110" s="2"/>
      <c r="M110" s="1"/>
      <c r="N110" s="1"/>
      <c r="O110" s="1"/>
    </row>
    <row x14ac:dyDescent="0.25" r="111" customHeight="1" ht="18.75">
      <c r="A111" s="67" t="s">
        <v>38</v>
      </c>
      <c r="B111" s="149" t="s">
        <v>322</v>
      </c>
      <c r="C111" s="148">
        <v>11956559415</v>
      </c>
      <c r="D111" s="148">
        <v>1</v>
      </c>
      <c r="E111" s="149" t="s">
        <v>78</v>
      </c>
      <c r="F111" s="96">
        <f>VLOOKUP(E111,CONFIGURAÇÃO!E:F,2,0)</f>
      </c>
      <c r="G111" s="166" t="s">
        <v>13</v>
      </c>
      <c r="H111" s="96">
        <f>IF(G111="CORTESIA",0,D111*F111)</f>
      </c>
      <c r="I111" s="147" t="s">
        <v>59</v>
      </c>
      <c r="J111" s="149" t="s">
        <v>74</v>
      </c>
      <c r="K111" s="149"/>
      <c r="L111" s="2"/>
      <c r="M111" s="1"/>
      <c r="N111" s="1"/>
      <c r="O111" s="1"/>
    </row>
    <row x14ac:dyDescent="0.25" r="112" customHeight="1" ht="18.75">
      <c r="A112" s="67" t="s">
        <v>38</v>
      </c>
      <c r="B112" s="149" t="s">
        <v>429</v>
      </c>
      <c r="C112" s="148">
        <v>11994807873</v>
      </c>
      <c r="D112" s="148">
        <v>1</v>
      </c>
      <c r="E112" s="149" t="s">
        <v>78</v>
      </c>
      <c r="F112" s="96">
        <f>VLOOKUP(E112,CONFIGURAÇÃO!E:F,2,0)</f>
      </c>
      <c r="G112" s="166" t="s">
        <v>13</v>
      </c>
      <c r="H112" s="96">
        <f>IF(G112="CORTESIA",0,D112*F112)</f>
      </c>
      <c r="I112" s="147" t="s">
        <v>59</v>
      </c>
      <c r="J112" s="149" t="s">
        <v>74</v>
      </c>
      <c r="K112" s="149"/>
      <c r="L112" s="2"/>
      <c r="M112" s="1"/>
      <c r="N112" s="1"/>
      <c r="O112" s="1"/>
    </row>
    <row x14ac:dyDescent="0.25" r="113" customHeight="1" ht="18.75">
      <c r="A113" s="67" t="s">
        <v>38</v>
      </c>
      <c r="B113" s="147" t="s">
        <v>387</v>
      </c>
      <c r="C113" s="148">
        <v>11978520670</v>
      </c>
      <c r="D113" s="148">
        <v>3</v>
      </c>
      <c r="E113" s="149" t="s">
        <v>78</v>
      </c>
      <c r="F113" s="96">
        <f>VLOOKUP(E113,CONFIGURAÇÃO!E:F,2,0)</f>
      </c>
      <c r="G113" s="166" t="s">
        <v>73</v>
      </c>
      <c r="H113" s="96">
        <f>IF(G113="CORTESIA",0,D113*F113)</f>
      </c>
      <c r="I113" s="147" t="s">
        <v>59</v>
      </c>
      <c r="J113" s="149" t="s">
        <v>74</v>
      </c>
      <c r="K113" s="147" t="s">
        <v>388</v>
      </c>
      <c r="L113" s="2"/>
      <c r="M113" s="1"/>
      <c r="N113" s="1"/>
      <c r="O113" s="1"/>
    </row>
    <row x14ac:dyDescent="0.25" r="114" customHeight="1" ht="18.75">
      <c r="A114" s="67" t="s">
        <v>38</v>
      </c>
      <c r="B114" s="149" t="s">
        <v>419</v>
      </c>
      <c r="C114" s="148">
        <v>11957134404</v>
      </c>
      <c r="D114" s="148">
        <v>1</v>
      </c>
      <c r="E114" s="149" t="s">
        <v>183</v>
      </c>
      <c r="F114" s="96">
        <f>VLOOKUP(E114,CONFIGURAÇÃO!E:F,2,0)</f>
      </c>
      <c r="G114" s="166" t="s">
        <v>13</v>
      </c>
      <c r="H114" s="96">
        <f>IF(G114="CORTESIA",0,D114*F114)</f>
      </c>
      <c r="I114" s="147" t="s">
        <v>59</v>
      </c>
      <c r="J114" s="149" t="s">
        <v>74</v>
      </c>
      <c r="K114" s="149"/>
      <c r="L114" s="2"/>
      <c r="M114" s="1"/>
      <c r="N114" s="1"/>
      <c r="O114" s="1"/>
    </row>
    <row x14ac:dyDescent="0.25" r="115" customHeight="1" ht="18.75" hidden="1">
      <c r="A115" s="65" t="s">
        <v>39</v>
      </c>
      <c r="B115" s="147" t="s">
        <v>71</v>
      </c>
      <c r="C115" s="66">
        <v>11914183024</v>
      </c>
      <c r="D115" s="66">
        <v>1</v>
      </c>
      <c r="E115" s="147" t="s">
        <v>78</v>
      </c>
      <c r="F115" s="96">
        <f>VLOOKUP(E115,CONFIGURAÇÃO!E:F,2,0)</f>
      </c>
      <c r="G115" s="147" t="s">
        <v>13</v>
      </c>
      <c r="H115" s="96">
        <f>IF(G115="CORTESIA",0,D115*F115)</f>
      </c>
      <c r="I115" s="147" t="s">
        <v>22</v>
      </c>
      <c r="J115" s="147" t="s">
        <v>74</v>
      </c>
      <c r="K115" s="147"/>
      <c r="L115" s="2"/>
      <c r="M115" s="1"/>
      <c r="N115" s="1"/>
      <c r="O115" s="1"/>
    </row>
    <row x14ac:dyDescent="0.25" r="116" customHeight="1" ht="18.75" hidden="1">
      <c r="A116" s="65" t="s">
        <v>39</v>
      </c>
      <c r="B116" s="147" t="s">
        <v>71</v>
      </c>
      <c r="C116" s="66">
        <v>11914183024</v>
      </c>
      <c r="D116" s="66">
        <v>1</v>
      </c>
      <c r="E116" s="147" t="s">
        <v>183</v>
      </c>
      <c r="F116" s="96">
        <f>VLOOKUP(E116,CONFIGURAÇÃO!E:F,2,0)</f>
      </c>
      <c r="G116" s="147" t="s">
        <v>13</v>
      </c>
      <c r="H116" s="96">
        <f>IF(G116="CORTESIA",0,D116*F116)</f>
      </c>
      <c r="I116" s="147" t="s">
        <v>22</v>
      </c>
      <c r="J116" s="147" t="s">
        <v>74</v>
      </c>
      <c r="K116" s="147"/>
      <c r="L116" s="2"/>
      <c r="M116" s="1"/>
      <c r="N116" s="1"/>
      <c r="O116" s="1"/>
    </row>
    <row x14ac:dyDescent="0.25" r="117" customHeight="1" ht="18.75" hidden="1">
      <c r="A117" s="65" t="s">
        <v>39</v>
      </c>
      <c r="B117" s="147" t="s">
        <v>197</v>
      </c>
      <c r="C117" s="66">
        <v>11983693391</v>
      </c>
      <c r="D117" s="66">
        <v>1</v>
      </c>
      <c r="E117" s="147" t="s">
        <v>183</v>
      </c>
      <c r="F117" s="96">
        <f>VLOOKUP(E117,CONFIGURAÇÃO!E:F,2,0)</f>
      </c>
      <c r="G117" s="147" t="s">
        <v>13</v>
      </c>
      <c r="H117" s="96">
        <f>IF(G117="CORTESIA",0,D117*F117)</f>
      </c>
      <c r="I117" s="147" t="s">
        <v>22</v>
      </c>
      <c r="J117" s="147" t="s">
        <v>74</v>
      </c>
      <c r="K117" s="147" t="s">
        <v>430</v>
      </c>
      <c r="L117" s="2"/>
      <c r="M117" s="1"/>
      <c r="N117" s="1"/>
      <c r="O117" s="1"/>
    </row>
    <row x14ac:dyDescent="0.25" r="118" customHeight="1" ht="18.75" hidden="1">
      <c r="A118" s="65" t="s">
        <v>39</v>
      </c>
      <c r="B118" s="147" t="s">
        <v>327</v>
      </c>
      <c r="C118" s="66">
        <v>11993843914</v>
      </c>
      <c r="D118" s="66">
        <v>1</v>
      </c>
      <c r="E118" s="147" t="s">
        <v>183</v>
      </c>
      <c r="F118" s="96">
        <f>VLOOKUP(E118,CONFIGURAÇÃO!E:F,2,0)</f>
      </c>
      <c r="G118" s="147" t="s">
        <v>13</v>
      </c>
      <c r="H118" s="96">
        <f>IF(G118="CORTESIA",0,D118*F118)</f>
      </c>
      <c r="I118" s="147" t="s">
        <v>22</v>
      </c>
      <c r="J118" s="147" t="s">
        <v>74</v>
      </c>
      <c r="K118" s="147"/>
      <c r="L118" s="2"/>
      <c r="M118" s="1"/>
      <c r="N118" s="1"/>
      <c r="O118" s="1"/>
    </row>
    <row x14ac:dyDescent="0.25" r="119" customHeight="1" ht="18.75" hidden="1">
      <c r="A119" s="65" t="s">
        <v>39</v>
      </c>
      <c r="B119" s="147" t="s">
        <v>431</v>
      </c>
      <c r="C119" s="66"/>
      <c r="D119" s="66">
        <v>1</v>
      </c>
      <c r="E119" s="147" t="s">
        <v>78</v>
      </c>
      <c r="F119" s="96">
        <f>VLOOKUP(E119,CONFIGURAÇÃO!E:F,2,0)</f>
      </c>
      <c r="G119" s="147" t="s">
        <v>13</v>
      </c>
      <c r="H119" s="96">
        <f>IF(G119="CORTESIA",0,D119*F119)</f>
      </c>
      <c r="I119" s="147" t="s">
        <v>22</v>
      </c>
      <c r="J119" s="147" t="s">
        <v>184</v>
      </c>
      <c r="K119" s="147"/>
      <c r="L119" s="2"/>
      <c r="M119" s="1"/>
      <c r="N119" s="1"/>
      <c r="O119" s="1"/>
    </row>
    <row x14ac:dyDescent="0.25" r="120" customHeight="1" ht="18.75" hidden="1">
      <c r="A120" s="65" t="s">
        <v>39</v>
      </c>
      <c r="B120" s="147" t="s">
        <v>379</v>
      </c>
      <c r="C120" s="66">
        <v>11915146426</v>
      </c>
      <c r="D120" s="66">
        <v>1</v>
      </c>
      <c r="E120" s="147" t="s">
        <v>183</v>
      </c>
      <c r="F120" s="96">
        <f>VLOOKUP(E120,CONFIGURAÇÃO!E:F,2,0)</f>
      </c>
      <c r="G120" s="147" t="s">
        <v>52</v>
      </c>
      <c r="H120" s="96">
        <f>IF(G120="CORTESIA",0,D120*F120)</f>
      </c>
      <c r="I120" s="147" t="s">
        <v>22</v>
      </c>
      <c r="J120" s="147" t="s">
        <v>184</v>
      </c>
      <c r="K120" s="147"/>
      <c r="L120" s="2"/>
      <c r="M120" s="1"/>
      <c r="N120" s="1"/>
      <c r="O120" s="1"/>
    </row>
    <row x14ac:dyDescent="0.25" r="121" customHeight="1" ht="18.75" hidden="1">
      <c r="A121" s="65" t="s">
        <v>39</v>
      </c>
      <c r="B121" s="147" t="s">
        <v>383</v>
      </c>
      <c r="C121" s="66">
        <v>11997856707</v>
      </c>
      <c r="D121" s="66">
        <v>2</v>
      </c>
      <c r="E121" s="147" t="s">
        <v>78</v>
      </c>
      <c r="F121" s="96">
        <f>VLOOKUP(E121,CONFIGURAÇÃO!E:F,2,0)</f>
      </c>
      <c r="G121" s="147" t="s">
        <v>13</v>
      </c>
      <c r="H121" s="96">
        <f>IF(G121="CORTESIA",0,D121*F121)</f>
      </c>
      <c r="I121" s="147" t="s">
        <v>22</v>
      </c>
      <c r="J121" s="147" t="s">
        <v>74</v>
      </c>
      <c r="K121" s="147"/>
      <c r="L121" s="2"/>
      <c r="M121" s="1"/>
      <c r="N121" s="1"/>
      <c r="O121" s="1"/>
    </row>
    <row x14ac:dyDescent="0.25" r="122" customHeight="1" ht="18.75" hidden="1">
      <c r="A122" s="65" t="s">
        <v>39</v>
      </c>
      <c r="B122" s="147" t="s">
        <v>432</v>
      </c>
      <c r="C122" s="66">
        <v>11959434978</v>
      </c>
      <c r="D122" s="66">
        <v>1</v>
      </c>
      <c r="E122" s="147" t="s">
        <v>183</v>
      </c>
      <c r="F122" s="96">
        <f>VLOOKUP(E122,CONFIGURAÇÃO!E:F,2,0)</f>
      </c>
      <c r="G122" s="147" t="s">
        <v>13</v>
      </c>
      <c r="H122" s="96">
        <f>IF(G122="CORTESIA",0,D122*F122)</f>
      </c>
      <c r="I122" s="147" t="s">
        <v>22</v>
      </c>
      <c r="J122" s="147" t="s">
        <v>74</v>
      </c>
      <c r="K122" s="147"/>
      <c r="L122" s="2"/>
      <c r="M122" s="1"/>
      <c r="N122" s="1"/>
      <c r="O122" s="1"/>
    </row>
    <row x14ac:dyDescent="0.25" r="123" customHeight="1" ht="18.75" hidden="1">
      <c r="A123" s="65" t="s">
        <v>39</v>
      </c>
      <c r="B123" s="147" t="s">
        <v>80</v>
      </c>
      <c r="C123" s="66">
        <v>11945347604</v>
      </c>
      <c r="D123" s="66">
        <v>1</v>
      </c>
      <c r="E123" s="147" t="s">
        <v>183</v>
      </c>
      <c r="F123" s="96">
        <f>VLOOKUP(E123,CONFIGURAÇÃO!E:F,2,0)</f>
      </c>
      <c r="G123" s="147" t="s">
        <v>13</v>
      </c>
      <c r="H123" s="96">
        <f>IF(G123="CORTESIA",0,D123*F123)</f>
      </c>
      <c r="I123" s="147" t="s">
        <v>22</v>
      </c>
      <c r="J123" s="147" t="s">
        <v>74</v>
      </c>
      <c r="K123" s="147"/>
      <c r="L123" s="2"/>
      <c r="M123" s="1"/>
      <c r="N123" s="1"/>
      <c r="O123" s="1"/>
    </row>
    <row x14ac:dyDescent="0.25" r="124" customHeight="1" ht="18.75" hidden="1">
      <c r="A124" s="65" t="s">
        <v>39</v>
      </c>
      <c r="B124" s="147" t="s">
        <v>90</v>
      </c>
      <c r="C124" s="66">
        <v>11915071973</v>
      </c>
      <c r="D124" s="66">
        <v>1</v>
      </c>
      <c r="E124" s="147" t="s">
        <v>183</v>
      </c>
      <c r="F124" s="96">
        <f>VLOOKUP(E124,CONFIGURAÇÃO!E:F,2,0)</f>
      </c>
      <c r="G124" s="147" t="s">
        <v>13</v>
      </c>
      <c r="H124" s="96">
        <f>IF(G124="CORTESIA",0,D124*F124)</f>
      </c>
      <c r="I124" s="147" t="s">
        <v>22</v>
      </c>
      <c r="J124" s="147" t="s">
        <v>74</v>
      </c>
      <c r="K124" s="147"/>
      <c r="L124" s="2"/>
      <c r="M124" s="1"/>
      <c r="N124" s="1"/>
      <c r="O124" s="1"/>
    </row>
    <row x14ac:dyDescent="0.25" r="125" customHeight="1" ht="18.75" hidden="1">
      <c r="A125" s="65" t="s">
        <v>39</v>
      </c>
      <c r="B125" s="147" t="s">
        <v>403</v>
      </c>
      <c r="C125" s="66">
        <v>11963046707</v>
      </c>
      <c r="D125" s="66">
        <v>1</v>
      </c>
      <c r="E125" s="147" t="s">
        <v>183</v>
      </c>
      <c r="F125" s="96">
        <f>VLOOKUP(E125,CONFIGURAÇÃO!E:F,2,0)</f>
      </c>
      <c r="G125" s="147" t="s">
        <v>13</v>
      </c>
      <c r="H125" s="96">
        <f>IF(G125="CORTESIA",0,D125*F125)</f>
      </c>
      <c r="I125" s="147" t="s">
        <v>22</v>
      </c>
      <c r="J125" s="147" t="s">
        <v>74</v>
      </c>
      <c r="K125" s="147"/>
      <c r="L125" s="2"/>
      <c r="M125" s="1"/>
      <c r="N125" s="1"/>
      <c r="O125" s="1"/>
    </row>
    <row x14ac:dyDescent="0.25" r="126" customHeight="1" ht="18.75" hidden="1">
      <c r="A126" s="65" t="s">
        <v>40</v>
      </c>
      <c r="B126" s="147" t="s">
        <v>382</v>
      </c>
      <c r="C126" s="66">
        <v>11914797854</v>
      </c>
      <c r="D126" s="66">
        <v>1</v>
      </c>
      <c r="E126" s="147" t="s">
        <v>171</v>
      </c>
      <c r="F126" s="96">
        <f>VLOOKUP(E126,CONFIGURAÇÃO!E:F,2,0)</f>
      </c>
      <c r="G126" s="147" t="s">
        <v>13</v>
      </c>
      <c r="H126" s="96">
        <f>IF(G126="CORTESIA",0,D126*F126)</f>
      </c>
      <c r="I126" s="147" t="s">
        <v>22</v>
      </c>
      <c r="J126" s="147" t="s">
        <v>74</v>
      </c>
      <c r="K126" s="147"/>
      <c r="L126" s="2"/>
      <c r="M126" s="1"/>
      <c r="N126" s="1"/>
      <c r="O126" s="1"/>
    </row>
    <row x14ac:dyDescent="0.25" r="127" customHeight="1" ht="18.75" hidden="1">
      <c r="A127" s="65" t="s">
        <v>40</v>
      </c>
      <c r="B127" s="147" t="s">
        <v>383</v>
      </c>
      <c r="C127" s="66">
        <v>11997856707</v>
      </c>
      <c r="D127" s="66">
        <v>3</v>
      </c>
      <c r="E127" s="147" t="s">
        <v>171</v>
      </c>
      <c r="F127" s="96">
        <f>VLOOKUP(E127,CONFIGURAÇÃO!E:F,2,0)</f>
      </c>
      <c r="G127" s="147" t="s">
        <v>13</v>
      </c>
      <c r="H127" s="96">
        <f>IF(G127="CORTESIA",0,D127*F127)</f>
      </c>
      <c r="I127" s="147" t="s">
        <v>22</v>
      </c>
      <c r="J127" s="147" t="s">
        <v>74</v>
      </c>
      <c r="K127" s="147"/>
      <c r="L127" s="2"/>
      <c r="M127" s="1"/>
      <c r="N127" s="1"/>
      <c r="O127" s="1"/>
    </row>
    <row x14ac:dyDescent="0.25" r="128" customHeight="1" ht="18.75" hidden="1">
      <c r="A128" s="65" t="s">
        <v>40</v>
      </c>
      <c r="B128" s="147" t="s">
        <v>255</v>
      </c>
      <c r="C128" s="66">
        <v>11962351523</v>
      </c>
      <c r="D128" s="66">
        <v>1</v>
      </c>
      <c r="E128" s="147" t="s">
        <v>78</v>
      </c>
      <c r="F128" s="96">
        <f>VLOOKUP(E128,CONFIGURAÇÃO!E:F,2,0)</f>
      </c>
      <c r="G128" s="147" t="s">
        <v>13</v>
      </c>
      <c r="H128" s="96">
        <f>IF(G128="CORTESIA",0,D128*F128)</f>
      </c>
      <c r="I128" s="147" t="s">
        <v>22</v>
      </c>
      <c r="J128" s="147" t="s">
        <v>74</v>
      </c>
      <c r="K128" s="147"/>
      <c r="L128" s="2"/>
      <c r="M128" s="1"/>
      <c r="N128" s="1"/>
      <c r="O128" s="1"/>
    </row>
    <row x14ac:dyDescent="0.25" r="129" customHeight="1" ht="18.75" hidden="1">
      <c r="A129" s="65" t="s">
        <v>40</v>
      </c>
      <c r="B129" s="147" t="s">
        <v>383</v>
      </c>
      <c r="C129" s="66">
        <v>11997856707</v>
      </c>
      <c r="D129" s="66">
        <v>1</v>
      </c>
      <c r="E129" s="147" t="s">
        <v>78</v>
      </c>
      <c r="F129" s="96">
        <f>VLOOKUP(E129,CONFIGURAÇÃO!E:F,2,0)</f>
      </c>
      <c r="G129" s="147" t="s">
        <v>13</v>
      </c>
      <c r="H129" s="96">
        <f>IF(G129="CORTESIA",0,D129*F129)</f>
      </c>
      <c r="I129" s="147" t="s">
        <v>22</v>
      </c>
      <c r="J129" s="147" t="s">
        <v>74</v>
      </c>
      <c r="K129" s="147"/>
      <c r="L129" s="2"/>
      <c r="M129" s="1"/>
      <c r="N129" s="1"/>
      <c r="O129" s="1"/>
    </row>
    <row x14ac:dyDescent="0.25" r="130" customHeight="1" ht="18.75" hidden="1">
      <c r="A130" s="65" t="s">
        <v>40</v>
      </c>
      <c r="B130" s="147" t="s">
        <v>432</v>
      </c>
      <c r="C130" s="66">
        <v>11959434978</v>
      </c>
      <c r="D130" s="66">
        <v>1</v>
      </c>
      <c r="E130" s="147" t="s">
        <v>171</v>
      </c>
      <c r="F130" s="96">
        <f>VLOOKUP(E130,CONFIGURAÇÃO!E:F,2,0)</f>
      </c>
      <c r="G130" s="147" t="s">
        <v>13</v>
      </c>
      <c r="H130" s="96">
        <f>IF(G130="CORTESIA",0,D130*F130)</f>
      </c>
      <c r="I130" s="147" t="s">
        <v>22</v>
      </c>
      <c r="J130" s="147" t="s">
        <v>74</v>
      </c>
      <c r="K130" s="147"/>
      <c r="L130" s="2"/>
      <c r="M130" s="1"/>
      <c r="N130" s="1"/>
      <c r="O130" s="1"/>
    </row>
    <row x14ac:dyDescent="0.25" r="131" customHeight="1" ht="18.75" hidden="1">
      <c r="A131" s="65" t="s">
        <v>40</v>
      </c>
      <c r="B131" s="147" t="s">
        <v>382</v>
      </c>
      <c r="C131" s="66">
        <v>11914797854</v>
      </c>
      <c r="D131" s="66">
        <v>2</v>
      </c>
      <c r="E131" s="147" t="s">
        <v>171</v>
      </c>
      <c r="F131" s="96">
        <f>VLOOKUP(E131,CONFIGURAÇÃO!E:F,2,0)</f>
      </c>
      <c r="G131" s="147" t="s">
        <v>13</v>
      </c>
      <c r="H131" s="96">
        <f>IF(G131="CORTESIA",0,D131*F131)</f>
      </c>
      <c r="I131" s="147" t="s">
        <v>22</v>
      </c>
      <c r="J131" s="147" t="s">
        <v>74</v>
      </c>
      <c r="K131" s="147"/>
      <c r="L131" s="2"/>
      <c r="M131" s="1"/>
      <c r="N131" s="1"/>
      <c r="O131" s="1"/>
    </row>
    <row x14ac:dyDescent="0.25" r="132" customHeight="1" ht="18.75" hidden="1">
      <c r="A132" s="65" t="s">
        <v>40</v>
      </c>
      <c r="B132" s="147" t="s">
        <v>129</v>
      </c>
      <c r="C132" s="66">
        <v>11994748434</v>
      </c>
      <c r="D132" s="66">
        <v>1</v>
      </c>
      <c r="E132" s="147" t="s">
        <v>171</v>
      </c>
      <c r="F132" s="96">
        <f>VLOOKUP(E132,CONFIGURAÇÃO!E:F,2,0)</f>
      </c>
      <c r="G132" s="147" t="s">
        <v>13</v>
      </c>
      <c r="H132" s="96">
        <f>IF(G132="CORTESIA",0,D132*F132)</f>
      </c>
      <c r="I132" s="147" t="s">
        <v>22</v>
      </c>
      <c r="J132" s="147" t="s">
        <v>74</v>
      </c>
      <c r="K132" s="147"/>
      <c r="L132" s="2"/>
      <c r="M132" s="1"/>
      <c r="N132" s="1"/>
      <c r="O132" s="1"/>
    </row>
    <row x14ac:dyDescent="0.25" r="133" customHeight="1" ht="18.75" hidden="1">
      <c r="A133" s="65" t="s">
        <v>40</v>
      </c>
      <c r="B133" s="147" t="s">
        <v>138</v>
      </c>
      <c r="C133" s="66">
        <v>11983607158</v>
      </c>
      <c r="D133" s="66">
        <v>1</v>
      </c>
      <c r="E133" s="147" t="s">
        <v>171</v>
      </c>
      <c r="F133" s="96">
        <f>VLOOKUP(E133,CONFIGURAÇÃO!E:F,2,0)</f>
      </c>
      <c r="G133" s="147" t="s">
        <v>13</v>
      </c>
      <c r="H133" s="96">
        <f>IF(G133="CORTESIA",0,D133*F133)</f>
      </c>
      <c r="I133" s="147" t="s">
        <v>22</v>
      </c>
      <c r="J133" s="147" t="s">
        <v>74</v>
      </c>
      <c r="K133" s="147"/>
      <c r="L133" s="2"/>
      <c r="M133" s="1"/>
      <c r="N133" s="1"/>
      <c r="O133" s="1"/>
    </row>
    <row x14ac:dyDescent="0.25" r="134" customHeight="1" ht="18.75" hidden="1">
      <c r="A134" s="65" t="s">
        <v>40</v>
      </c>
      <c r="B134" s="147" t="s">
        <v>137</v>
      </c>
      <c r="C134" s="66">
        <v>11958078086</v>
      </c>
      <c r="D134" s="66">
        <v>1</v>
      </c>
      <c r="E134" s="147" t="s">
        <v>171</v>
      </c>
      <c r="F134" s="96">
        <f>VLOOKUP(E134,CONFIGURAÇÃO!E:F,2,0)</f>
      </c>
      <c r="G134" s="147" t="s">
        <v>13</v>
      </c>
      <c r="H134" s="96">
        <f>IF(G134="CORTESIA",0,D134*F134)</f>
      </c>
      <c r="I134" s="147" t="s">
        <v>22</v>
      </c>
      <c r="J134" s="147" t="s">
        <v>74</v>
      </c>
      <c r="K134" s="147"/>
      <c r="L134" s="2"/>
      <c r="M134" s="1"/>
      <c r="N134" s="1"/>
      <c r="O134" s="1"/>
    </row>
    <row x14ac:dyDescent="0.25" r="135" customHeight="1" ht="18.75" hidden="1">
      <c r="A135" s="65" t="s">
        <v>40</v>
      </c>
      <c r="B135" s="147" t="s">
        <v>197</v>
      </c>
      <c r="C135" s="66">
        <v>11983693391</v>
      </c>
      <c r="D135" s="66">
        <v>2</v>
      </c>
      <c r="E135" s="147" t="s">
        <v>78</v>
      </c>
      <c r="F135" s="96">
        <f>VLOOKUP(E135,CONFIGURAÇÃO!E:F,2,0)</f>
      </c>
      <c r="G135" s="147" t="s">
        <v>13</v>
      </c>
      <c r="H135" s="96">
        <f>IF(G135="CORTESIA",0,D135*F135)</f>
      </c>
      <c r="I135" s="147" t="s">
        <v>22</v>
      </c>
      <c r="J135" s="147" t="s">
        <v>74</v>
      </c>
      <c r="K135" s="147" t="s">
        <v>430</v>
      </c>
      <c r="L135" s="2"/>
      <c r="M135" s="1"/>
      <c r="N135" s="1"/>
      <c r="O135" s="1"/>
    </row>
    <row x14ac:dyDescent="0.25" r="136" customHeight="1" ht="18.75" hidden="1">
      <c r="A136" s="65" t="s">
        <v>40</v>
      </c>
      <c r="B136" s="147" t="s">
        <v>71</v>
      </c>
      <c r="C136" s="66">
        <v>11914183024</v>
      </c>
      <c r="D136" s="66">
        <v>1</v>
      </c>
      <c r="E136" s="147" t="s">
        <v>78</v>
      </c>
      <c r="F136" s="96">
        <f>VLOOKUP(E136,CONFIGURAÇÃO!E:F,2,0)</f>
      </c>
      <c r="G136" s="147" t="s">
        <v>13</v>
      </c>
      <c r="H136" s="96">
        <f>IF(G136="CORTESIA",0,D136*F136)</f>
      </c>
      <c r="I136" s="147" t="s">
        <v>22</v>
      </c>
      <c r="J136" s="147" t="s">
        <v>74</v>
      </c>
      <c r="K136" s="147"/>
      <c r="L136" s="2"/>
      <c r="M136" s="1"/>
      <c r="N136" s="1"/>
      <c r="O136" s="1"/>
    </row>
    <row x14ac:dyDescent="0.25" r="137" customHeight="1" ht="18.75" hidden="1">
      <c r="A137" s="65" t="s">
        <v>41</v>
      </c>
      <c r="B137" s="147" t="s">
        <v>382</v>
      </c>
      <c r="C137" s="66">
        <v>11914797854</v>
      </c>
      <c r="D137" s="66">
        <v>1</v>
      </c>
      <c r="E137" s="147" t="s">
        <v>72</v>
      </c>
      <c r="F137" s="96">
        <f>VLOOKUP(E137,CONFIGURAÇÃO!E:F,2,0)</f>
      </c>
      <c r="G137" s="147" t="s">
        <v>52</v>
      </c>
      <c r="H137" s="96">
        <f>IF(G137="CORTESIA",0,D137*F137)</f>
      </c>
      <c r="I137" s="147" t="s">
        <v>22</v>
      </c>
      <c r="J137" s="147" t="s">
        <v>184</v>
      </c>
      <c r="K137" s="147"/>
      <c r="L137" s="2"/>
      <c r="M137" s="1"/>
      <c r="N137" s="1"/>
      <c r="O137" s="1"/>
    </row>
    <row x14ac:dyDescent="0.25" r="138" customHeight="1" ht="18.75" hidden="1">
      <c r="A138" s="65" t="s">
        <v>41</v>
      </c>
      <c r="B138" s="147" t="s">
        <v>382</v>
      </c>
      <c r="C138" s="66">
        <v>11914797854</v>
      </c>
      <c r="D138" s="66">
        <v>2</v>
      </c>
      <c r="E138" s="147" t="s">
        <v>72</v>
      </c>
      <c r="F138" s="96">
        <f>VLOOKUP(E138,CONFIGURAÇÃO!E:F,2,0)</f>
      </c>
      <c r="G138" s="147" t="s">
        <v>13</v>
      </c>
      <c r="H138" s="96">
        <f>IF(G138="CORTESIA",0,D138*F138)</f>
      </c>
      <c r="I138" s="147" t="s">
        <v>22</v>
      </c>
      <c r="J138" s="147" t="s">
        <v>74</v>
      </c>
      <c r="K138" s="147"/>
      <c r="L138" s="2"/>
      <c r="M138" s="1"/>
      <c r="N138" s="1"/>
      <c r="O138" s="1"/>
    </row>
    <row x14ac:dyDescent="0.25" r="139" customHeight="1" ht="18.75" hidden="1">
      <c r="A139" s="65" t="s">
        <v>41</v>
      </c>
      <c r="B139" s="147" t="s">
        <v>383</v>
      </c>
      <c r="C139" s="66">
        <v>11997856707</v>
      </c>
      <c r="D139" s="66">
        <v>1</v>
      </c>
      <c r="E139" s="147" t="s">
        <v>72</v>
      </c>
      <c r="F139" s="96">
        <f>VLOOKUP(E139,CONFIGURAÇÃO!E:F,2,0)</f>
      </c>
      <c r="G139" s="147" t="s">
        <v>52</v>
      </c>
      <c r="H139" s="96">
        <f>IF(G139="CORTESIA",0,D139*F139)</f>
      </c>
      <c r="I139" s="147" t="s">
        <v>22</v>
      </c>
      <c r="J139" s="147" t="s">
        <v>184</v>
      </c>
      <c r="K139" s="147"/>
      <c r="L139" s="2"/>
      <c r="M139" s="1"/>
      <c r="N139" s="1"/>
      <c r="O139" s="1"/>
    </row>
    <row x14ac:dyDescent="0.25" r="140" customHeight="1" ht="18.75" hidden="1">
      <c r="A140" s="65" t="s">
        <v>41</v>
      </c>
      <c r="B140" s="147" t="s">
        <v>383</v>
      </c>
      <c r="C140" s="66">
        <v>11997856707</v>
      </c>
      <c r="D140" s="66">
        <v>3</v>
      </c>
      <c r="E140" s="147" t="s">
        <v>72</v>
      </c>
      <c r="F140" s="96">
        <f>VLOOKUP(E140,CONFIGURAÇÃO!E:F,2,0)</f>
      </c>
      <c r="G140" s="147" t="s">
        <v>13</v>
      </c>
      <c r="H140" s="96">
        <f>IF(G140="CORTESIA",0,D140*F140)</f>
      </c>
      <c r="I140" s="147" t="s">
        <v>22</v>
      </c>
      <c r="J140" s="147" t="s">
        <v>74</v>
      </c>
      <c r="K140" s="147"/>
      <c r="L140" s="2"/>
      <c r="M140" s="1"/>
      <c r="N140" s="1"/>
      <c r="O140" s="1"/>
    </row>
    <row x14ac:dyDescent="0.25" r="141" customHeight="1" ht="18.75" hidden="1">
      <c r="A141" s="65" t="s">
        <v>41</v>
      </c>
      <c r="B141" s="147" t="s">
        <v>79</v>
      </c>
      <c r="C141" s="66">
        <v>11961271147</v>
      </c>
      <c r="D141" s="66">
        <v>1</v>
      </c>
      <c r="E141" s="147" t="s">
        <v>72</v>
      </c>
      <c r="F141" s="96">
        <f>VLOOKUP(E141,CONFIGURAÇÃO!E:F,2,0)</f>
      </c>
      <c r="G141" s="147" t="s">
        <v>13</v>
      </c>
      <c r="H141" s="96">
        <f>IF(G141="CORTESIA",0,D141*F141)</f>
      </c>
      <c r="I141" s="147" t="s">
        <v>22</v>
      </c>
      <c r="J141" s="147" t="s">
        <v>74</v>
      </c>
      <c r="K141" s="147"/>
      <c r="L141" s="2"/>
      <c r="M141" s="1"/>
      <c r="N141" s="1"/>
      <c r="O141" s="1"/>
    </row>
    <row x14ac:dyDescent="0.25" r="142" customHeight="1" ht="18.75" hidden="1">
      <c r="A142" s="65" t="s">
        <v>41</v>
      </c>
      <c r="B142" s="147" t="s">
        <v>71</v>
      </c>
      <c r="C142" s="66">
        <v>11914183024</v>
      </c>
      <c r="D142" s="66">
        <v>1</v>
      </c>
      <c r="E142" s="147" t="s">
        <v>72</v>
      </c>
      <c r="F142" s="96">
        <f>VLOOKUP(E142,CONFIGURAÇÃO!E:F,2,0)</f>
      </c>
      <c r="G142" s="147" t="s">
        <v>52</v>
      </c>
      <c r="H142" s="96">
        <f>IF(G142="CORTESIA",0,D142*F142)</f>
      </c>
      <c r="I142" s="147" t="s">
        <v>22</v>
      </c>
      <c r="J142" s="147" t="s">
        <v>74</v>
      </c>
      <c r="K142" s="147"/>
      <c r="L142" s="2"/>
      <c r="M142" s="1"/>
      <c r="N142" s="1"/>
      <c r="O142" s="1"/>
    </row>
    <row x14ac:dyDescent="0.25" r="143" customHeight="1" ht="18.75" hidden="1">
      <c r="A143" s="65" t="s">
        <v>41</v>
      </c>
      <c r="B143" s="147" t="s">
        <v>71</v>
      </c>
      <c r="C143" s="66">
        <v>11914183024</v>
      </c>
      <c r="D143" s="66">
        <v>1</v>
      </c>
      <c r="E143" s="147" t="s">
        <v>72</v>
      </c>
      <c r="F143" s="96">
        <f>VLOOKUP(E143,CONFIGURAÇÃO!E:F,2,0)</f>
      </c>
      <c r="G143" s="147" t="s">
        <v>52</v>
      </c>
      <c r="H143" s="96">
        <f>IF(G143="CORTESIA",0,D143*F143)</f>
      </c>
      <c r="I143" s="147" t="s">
        <v>22</v>
      </c>
      <c r="J143" s="147" t="s">
        <v>74</v>
      </c>
      <c r="K143" s="147"/>
      <c r="L143" s="2"/>
      <c r="M143" s="1"/>
      <c r="N143" s="1"/>
      <c r="O143" s="1"/>
    </row>
    <row x14ac:dyDescent="0.25" r="144" customHeight="1" ht="18.75" hidden="1">
      <c r="A144" s="65" t="s">
        <v>41</v>
      </c>
      <c r="B144" s="147" t="s">
        <v>327</v>
      </c>
      <c r="C144" s="66">
        <v>11993843914</v>
      </c>
      <c r="D144" s="66">
        <v>1</v>
      </c>
      <c r="E144" s="147" t="s">
        <v>72</v>
      </c>
      <c r="F144" s="96">
        <f>VLOOKUP(E144,CONFIGURAÇÃO!E:F,2,0)</f>
      </c>
      <c r="G144" s="147" t="s">
        <v>13</v>
      </c>
      <c r="H144" s="96">
        <f>IF(G144="CORTESIA",0,D144*F144)</f>
      </c>
      <c r="I144" s="147" t="s">
        <v>22</v>
      </c>
      <c r="J144" s="147" t="s">
        <v>74</v>
      </c>
      <c r="K144" s="147"/>
      <c r="L144" s="2"/>
      <c r="M144" s="1"/>
      <c r="N144" s="1"/>
      <c r="O144" s="1"/>
    </row>
    <row x14ac:dyDescent="0.25" r="145" customHeight="1" ht="18.75" hidden="1">
      <c r="A145" s="65" t="s">
        <v>41</v>
      </c>
      <c r="B145" s="147" t="s">
        <v>197</v>
      </c>
      <c r="C145" s="66">
        <v>11983693391</v>
      </c>
      <c r="D145" s="66">
        <v>1</v>
      </c>
      <c r="E145" s="147" t="s">
        <v>72</v>
      </c>
      <c r="F145" s="96">
        <f>VLOOKUP(E145,CONFIGURAÇÃO!E:F,2,0)</f>
      </c>
      <c r="G145" s="147" t="s">
        <v>52</v>
      </c>
      <c r="H145" s="96">
        <f>IF(G145="CORTESIA",0,D145*F145)</f>
      </c>
      <c r="I145" s="147" t="s">
        <v>22</v>
      </c>
      <c r="J145" s="147" t="s">
        <v>74</v>
      </c>
      <c r="K145" s="147"/>
      <c r="L145" s="2"/>
      <c r="M145" s="1"/>
      <c r="N145" s="1"/>
      <c r="O145" s="1"/>
    </row>
    <row x14ac:dyDescent="0.25" r="146" customHeight="1" ht="18.75" hidden="1">
      <c r="A146" s="65" t="s">
        <v>41</v>
      </c>
      <c r="B146" s="147" t="s">
        <v>327</v>
      </c>
      <c r="C146" s="66">
        <v>11993843914</v>
      </c>
      <c r="D146" s="66">
        <v>1</v>
      </c>
      <c r="E146" s="147" t="s">
        <v>72</v>
      </c>
      <c r="F146" s="96">
        <f>VLOOKUP(E146,CONFIGURAÇÃO!E:F,2,0)</f>
      </c>
      <c r="G146" s="147" t="s">
        <v>13</v>
      </c>
      <c r="H146" s="96">
        <f>IF(G146="CORTESIA",0,D146*F146)</f>
      </c>
      <c r="I146" s="147" t="s">
        <v>22</v>
      </c>
      <c r="J146" s="147" t="s">
        <v>74</v>
      </c>
      <c r="K146" s="147"/>
      <c r="L146" s="2"/>
      <c r="M146" s="1"/>
      <c r="N146" s="1"/>
      <c r="O146" s="1"/>
    </row>
    <row x14ac:dyDescent="0.25" r="147" customHeight="1" ht="18.75" hidden="1">
      <c r="A147" s="65" t="s">
        <v>41</v>
      </c>
      <c r="B147" s="147" t="s">
        <v>129</v>
      </c>
      <c r="C147" s="66">
        <v>11994748434</v>
      </c>
      <c r="D147" s="66">
        <v>1</v>
      </c>
      <c r="E147" s="147" t="s">
        <v>72</v>
      </c>
      <c r="F147" s="96">
        <f>VLOOKUP(E147,CONFIGURAÇÃO!E:F,2,0)</f>
      </c>
      <c r="G147" s="147" t="s">
        <v>13</v>
      </c>
      <c r="H147" s="96">
        <f>IF(G147="CORTESIA",0,D147*F147)</f>
      </c>
      <c r="I147" s="147" t="s">
        <v>22</v>
      </c>
      <c r="J147" s="147" t="s">
        <v>74</v>
      </c>
      <c r="K147" s="147"/>
      <c r="L147" s="2"/>
      <c r="M147" s="1"/>
      <c r="N147" s="1"/>
      <c r="O147" s="1"/>
    </row>
    <row x14ac:dyDescent="0.25" r="148" customHeight="1" ht="18.75" hidden="1">
      <c r="A148" s="65" t="s">
        <v>41</v>
      </c>
      <c r="B148" s="147" t="s">
        <v>403</v>
      </c>
      <c r="C148" s="66">
        <v>11963046707</v>
      </c>
      <c r="D148" s="66">
        <v>1</v>
      </c>
      <c r="E148" s="147" t="s">
        <v>72</v>
      </c>
      <c r="F148" s="96">
        <f>VLOOKUP(E148,CONFIGURAÇÃO!E:F,2,0)</f>
      </c>
      <c r="G148" s="147" t="s">
        <v>13</v>
      </c>
      <c r="H148" s="96">
        <f>IF(G148="CORTESIA",0,D148*F148)</f>
      </c>
      <c r="I148" s="147" t="s">
        <v>22</v>
      </c>
      <c r="J148" s="147" t="s">
        <v>74</v>
      </c>
      <c r="K148" s="147"/>
      <c r="L148" s="2"/>
      <c r="M148" s="1"/>
      <c r="N148" s="1"/>
      <c r="O148" s="1"/>
    </row>
    <row x14ac:dyDescent="0.25" r="149" customHeight="1" ht="18.75" hidden="1">
      <c r="A149" s="65" t="s">
        <v>41</v>
      </c>
      <c r="B149" s="147" t="s">
        <v>127</v>
      </c>
      <c r="C149" s="66">
        <v>11974067428</v>
      </c>
      <c r="D149" s="66">
        <v>2</v>
      </c>
      <c r="E149" s="147" t="s">
        <v>433</v>
      </c>
      <c r="F149" s="96">
        <f>VLOOKUP(E149,CONFIGURAÇÃO!E:F,2,0)</f>
      </c>
      <c r="G149" s="147" t="s">
        <v>13</v>
      </c>
      <c r="H149" s="96">
        <f>IF(G149="CORTESIA",0,D149*F149)</f>
      </c>
      <c r="I149" s="147" t="s">
        <v>22</v>
      </c>
      <c r="J149" s="147" t="s">
        <v>74</v>
      </c>
      <c r="K149" s="147"/>
      <c r="L149" s="2"/>
      <c r="M149" s="1"/>
      <c r="N149" s="1"/>
      <c r="O149" s="1"/>
    </row>
    <row x14ac:dyDescent="0.25" r="150" customHeight="1" ht="18.75" hidden="1">
      <c r="A150" s="65" t="s">
        <v>41</v>
      </c>
      <c r="B150" s="147" t="s">
        <v>379</v>
      </c>
      <c r="C150" s="66">
        <v>11915146426</v>
      </c>
      <c r="D150" s="66">
        <v>1</v>
      </c>
      <c r="E150" s="147" t="s">
        <v>72</v>
      </c>
      <c r="F150" s="96">
        <f>VLOOKUP(E150,CONFIGURAÇÃO!E:F,2,0)</f>
      </c>
      <c r="G150" s="147" t="s">
        <v>13</v>
      </c>
      <c r="H150" s="96">
        <f>IF(G150="CORTESIA",0,D150*F150)</f>
      </c>
      <c r="I150" s="147" t="s">
        <v>22</v>
      </c>
      <c r="J150" s="147" t="s">
        <v>74</v>
      </c>
      <c r="K150" s="147"/>
      <c r="L150" s="2"/>
      <c r="M150" s="1"/>
      <c r="N150" s="1"/>
      <c r="O150" s="1"/>
    </row>
    <row x14ac:dyDescent="0.25" r="151" customHeight="1" ht="18.75">
      <c r="A151" s="67" t="s">
        <v>41</v>
      </c>
      <c r="B151" s="149" t="s">
        <v>394</v>
      </c>
      <c r="C151" s="148">
        <v>11994428946</v>
      </c>
      <c r="D151" s="148">
        <v>1</v>
      </c>
      <c r="E151" s="149" t="s">
        <v>72</v>
      </c>
      <c r="F151" s="96">
        <f>VLOOKUP(E151,CONFIGURAÇÃO!E:F,2,0)</f>
      </c>
      <c r="G151" s="166" t="s">
        <v>13</v>
      </c>
      <c r="H151" s="96">
        <f>IF(G151="CORTESIA",0,D151*F151)</f>
      </c>
      <c r="I151" s="147" t="s">
        <v>59</v>
      </c>
      <c r="J151" s="149" t="s">
        <v>74</v>
      </c>
      <c r="K151" s="149"/>
      <c r="L151" s="2"/>
      <c r="M151" s="1"/>
      <c r="N151" s="1"/>
      <c r="O151" s="1"/>
    </row>
    <row x14ac:dyDescent="0.25" r="152" customHeight="1" ht="18.75">
      <c r="A152" s="67" t="s">
        <v>41</v>
      </c>
      <c r="B152" s="149" t="s">
        <v>392</v>
      </c>
      <c r="C152" s="148">
        <v>11911193002</v>
      </c>
      <c r="D152" s="148">
        <v>1</v>
      </c>
      <c r="E152" s="149" t="s">
        <v>72</v>
      </c>
      <c r="F152" s="96">
        <f>VLOOKUP(E152,CONFIGURAÇÃO!E:F,2,0)</f>
      </c>
      <c r="G152" s="166" t="s">
        <v>73</v>
      </c>
      <c r="H152" s="96">
        <f>IF(G152="CORTESIA",0,D152*F152)</f>
      </c>
      <c r="I152" s="147" t="s">
        <v>59</v>
      </c>
      <c r="J152" s="149" t="s">
        <v>74</v>
      </c>
      <c r="K152" s="147" t="s">
        <v>393</v>
      </c>
      <c r="L152" s="2"/>
      <c r="M152" s="1"/>
      <c r="N152" s="1"/>
      <c r="O152" s="1"/>
    </row>
    <row x14ac:dyDescent="0.25" r="153" customHeight="1" ht="18.75" hidden="1">
      <c r="A153" s="65" t="s">
        <v>42</v>
      </c>
      <c r="B153" s="147" t="s">
        <v>253</v>
      </c>
      <c r="C153" s="66">
        <v>11941754380</v>
      </c>
      <c r="D153" s="66">
        <v>1</v>
      </c>
      <c r="E153" s="147" t="s">
        <v>72</v>
      </c>
      <c r="F153" s="96">
        <f>VLOOKUP(E153,CONFIGURAÇÃO!E:F,2,0)</f>
      </c>
      <c r="G153" s="147" t="s">
        <v>13</v>
      </c>
      <c r="H153" s="96">
        <f>IF(G153="CORTESIA",0,D153*F153)</f>
      </c>
      <c r="I153" s="147" t="s">
        <v>22</v>
      </c>
      <c r="J153" s="147" t="s">
        <v>74</v>
      </c>
      <c r="K153" s="147"/>
      <c r="L153" s="2"/>
      <c r="M153" s="1"/>
      <c r="N153" s="1"/>
      <c r="O153" s="1"/>
    </row>
    <row x14ac:dyDescent="0.25" r="154" customHeight="1" ht="18.75" hidden="1">
      <c r="A154" s="65" t="s">
        <v>42</v>
      </c>
      <c r="B154" s="147" t="s">
        <v>382</v>
      </c>
      <c r="C154" s="66">
        <v>11914797854</v>
      </c>
      <c r="D154" s="66">
        <v>2</v>
      </c>
      <c r="E154" s="147" t="s">
        <v>433</v>
      </c>
      <c r="F154" s="96">
        <f>VLOOKUP(E154,CONFIGURAÇÃO!E:F,2,0)</f>
      </c>
      <c r="G154" s="147" t="s">
        <v>13</v>
      </c>
      <c r="H154" s="96">
        <f>IF(G154="CORTESIA",0,D154*F154)</f>
      </c>
      <c r="I154" s="147" t="s">
        <v>22</v>
      </c>
      <c r="J154" s="147" t="s">
        <v>74</v>
      </c>
      <c r="K154" s="147"/>
      <c r="L154" s="2"/>
      <c r="M154" s="1"/>
      <c r="N154" s="1"/>
      <c r="O154" s="1"/>
    </row>
    <row x14ac:dyDescent="0.25" r="155" customHeight="1" ht="18.75" hidden="1">
      <c r="A155" s="65" t="s">
        <v>42</v>
      </c>
      <c r="B155" s="147" t="s">
        <v>383</v>
      </c>
      <c r="C155" s="66">
        <v>11997856707</v>
      </c>
      <c r="D155" s="66">
        <v>6</v>
      </c>
      <c r="E155" s="147" t="s">
        <v>72</v>
      </c>
      <c r="F155" s="96">
        <f>VLOOKUP(E155,CONFIGURAÇÃO!E:F,2,0)</f>
      </c>
      <c r="G155" s="147" t="s">
        <v>13</v>
      </c>
      <c r="H155" s="96">
        <f>IF(G155="CORTESIA",0,D155*F155)</f>
      </c>
      <c r="I155" s="147" t="s">
        <v>22</v>
      </c>
      <c r="J155" s="147" t="s">
        <v>74</v>
      </c>
      <c r="K155" s="147"/>
      <c r="L155" s="2"/>
      <c r="M155" s="1"/>
      <c r="N155" s="1"/>
      <c r="O155" s="1"/>
    </row>
    <row x14ac:dyDescent="0.25" r="156" customHeight="1" ht="18.75" hidden="1">
      <c r="A156" s="65" t="s">
        <v>42</v>
      </c>
      <c r="B156" s="147" t="s">
        <v>129</v>
      </c>
      <c r="C156" s="66">
        <v>11994748434</v>
      </c>
      <c r="D156" s="66">
        <v>2</v>
      </c>
      <c r="E156" s="147" t="s">
        <v>433</v>
      </c>
      <c r="F156" s="96">
        <f>VLOOKUP(E156,CONFIGURAÇÃO!E:F,2,0)</f>
      </c>
      <c r="G156" s="147" t="s">
        <v>13</v>
      </c>
      <c r="H156" s="96">
        <f>IF(G156="CORTESIA",0,D156*F156)</f>
      </c>
      <c r="I156" s="147" t="s">
        <v>22</v>
      </c>
      <c r="J156" s="147" t="s">
        <v>74</v>
      </c>
      <c r="K156" s="147"/>
      <c r="L156" s="2"/>
      <c r="M156" s="1"/>
      <c r="N156" s="1"/>
      <c r="O156" s="1"/>
    </row>
    <row x14ac:dyDescent="0.25" r="157" customHeight="1" ht="18.75" hidden="1">
      <c r="A157" s="65" t="s">
        <v>42</v>
      </c>
      <c r="B157" s="147" t="s">
        <v>431</v>
      </c>
      <c r="C157" s="66">
        <v>11956078403</v>
      </c>
      <c r="D157" s="66">
        <v>1</v>
      </c>
      <c r="E157" s="147" t="s">
        <v>72</v>
      </c>
      <c r="F157" s="96">
        <f>VLOOKUP(E157,CONFIGURAÇÃO!E:F,2,0)</f>
      </c>
      <c r="G157" s="147" t="s">
        <v>13</v>
      </c>
      <c r="H157" s="96">
        <f>IF(G157="CORTESIA",0,D157*F157)</f>
      </c>
      <c r="I157" s="147" t="s">
        <v>22</v>
      </c>
      <c r="J157" s="147" t="s">
        <v>74</v>
      </c>
      <c r="K157" s="147"/>
      <c r="L157" s="2"/>
      <c r="M157" s="1"/>
      <c r="N157" s="1"/>
      <c r="O157" s="1"/>
    </row>
    <row x14ac:dyDescent="0.25" r="158" customHeight="1" ht="18.75" hidden="1">
      <c r="A158" s="65" t="s">
        <v>42</v>
      </c>
      <c r="B158" s="147" t="s">
        <v>397</v>
      </c>
      <c r="C158" s="66">
        <v>11934673696</v>
      </c>
      <c r="D158" s="66">
        <v>2</v>
      </c>
      <c r="E158" s="147" t="s">
        <v>433</v>
      </c>
      <c r="F158" s="96">
        <f>VLOOKUP(E158,CONFIGURAÇÃO!E:F,2,0)</f>
      </c>
      <c r="G158" s="147" t="s">
        <v>13</v>
      </c>
      <c r="H158" s="96">
        <f>IF(G158="CORTESIA",0,D158*F158)</f>
      </c>
      <c r="I158" s="147" t="s">
        <v>22</v>
      </c>
      <c r="J158" s="147" t="s">
        <v>74</v>
      </c>
      <c r="K158" s="147"/>
      <c r="L158" s="2"/>
      <c r="M158" s="1"/>
      <c r="N158" s="1"/>
      <c r="O158" s="1"/>
    </row>
    <row x14ac:dyDescent="0.25" r="159" customHeight="1" ht="18.75" hidden="1">
      <c r="A159" s="65" t="s">
        <v>42</v>
      </c>
      <c r="B159" s="147" t="s">
        <v>397</v>
      </c>
      <c r="C159" s="66">
        <v>11934673696</v>
      </c>
      <c r="D159" s="66">
        <v>1</v>
      </c>
      <c r="E159" s="147" t="s">
        <v>72</v>
      </c>
      <c r="F159" s="96">
        <f>VLOOKUP(E159,CONFIGURAÇÃO!E:F,2,0)</f>
      </c>
      <c r="G159" s="147" t="s">
        <v>13</v>
      </c>
      <c r="H159" s="96">
        <f>IF(G159="CORTESIA",0,D159*F159)</f>
      </c>
      <c r="I159" s="147" t="s">
        <v>22</v>
      </c>
      <c r="J159" s="147" t="s">
        <v>74</v>
      </c>
      <c r="K159" s="147"/>
      <c r="L159" s="2"/>
      <c r="M159" s="1"/>
      <c r="N159" s="1"/>
      <c r="O159" s="1"/>
    </row>
    <row x14ac:dyDescent="0.25" r="160" customHeight="1" ht="18.75" hidden="1">
      <c r="A160" s="65" t="s">
        <v>42</v>
      </c>
      <c r="B160" s="147" t="s">
        <v>127</v>
      </c>
      <c r="C160" s="66">
        <v>11974067428</v>
      </c>
      <c r="D160" s="66">
        <v>2</v>
      </c>
      <c r="E160" s="147" t="s">
        <v>433</v>
      </c>
      <c r="F160" s="96">
        <f>VLOOKUP(E160,CONFIGURAÇÃO!E:F,2,0)</f>
      </c>
      <c r="G160" s="147" t="s">
        <v>13</v>
      </c>
      <c r="H160" s="96">
        <f>IF(G160="CORTESIA",0,D160*F160)</f>
      </c>
      <c r="I160" s="147" t="s">
        <v>22</v>
      </c>
      <c r="J160" s="147" t="s">
        <v>74</v>
      </c>
      <c r="K160" s="147"/>
      <c r="L160" s="2"/>
      <c r="M160" s="1"/>
      <c r="N160" s="1"/>
      <c r="O160" s="1"/>
    </row>
    <row x14ac:dyDescent="0.25" r="161" customHeight="1" ht="18.75">
      <c r="A161" s="65" t="s">
        <v>42</v>
      </c>
      <c r="B161" s="147" t="s">
        <v>368</v>
      </c>
      <c r="C161" s="66">
        <v>11934345107</v>
      </c>
      <c r="D161" s="66">
        <v>1</v>
      </c>
      <c r="E161" s="147" t="s">
        <v>72</v>
      </c>
      <c r="F161" s="96">
        <f>VLOOKUP(E161,CONFIGURAÇÃO!E:F,2,0)</f>
      </c>
      <c r="G161" s="147" t="s">
        <v>13</v>
      </c>
      <c r="H161" s="96">
        <f>IF(G161="CORTESIA",0,D161*F161)</f>
      </c>
      <c r="I161" s="147" t="s">
        <v>59</v>
      </c>
      <c r="J161" s="147" t="s">
        <v>74</v>
      </c>
      <c r="K161" s="147"/>
      <c r="L161" s="2"/>
      <c r="M161" s="1"/>
      <c r="N161" s="1"/>
      <c r="O161" s="1"/>
    </row>
    <row x14ac:dyDescent="0.25" r="162" customHeight="1" ht="18.75">
      <c r="A162" s="65" t="s">
        <v>42</v>
      </c>
      <c r="B162" s="147" t="s">
        <v>387</v>
      </c>
      <c r="C162" s="66">
        <v>11978520670</v>
      </c>
      <c r="D162" s="66">
        <v>1</v>
      </c>
      <c r="E162" s="147" t="s">
        <v>72</v>
      </c>
      <c r="F162" s="96">
        <f>VLOOKUP(E162,CONFIGURAÇÃO!E:F,2,0)</f>
      </c>
      <c r="G162" s="147" t="s">
        <v>73</v>
      </c>
      <c r="H162" s="96">
        <f>IF(G162="CORTESIA",0,D162*F162)</f>
      </c>
      <c r="I162" s="147" t="s">
        <v>59</v>
      </c>
      <c r="J162" s="147" t="s">
        <v>74</v>
      </c>
      <c r="K162" s="147" t="s">
        <v>388</v>
      </c>
      <c r="L162" s="2"/>
      <c r="M162" s="1"/>
      <c r="N162" s="1"/>
      <c r="O162" s="1"/>
    </row>
    <row x14ac:dyDescent="0.25" r="163" customHeight="1" ht="18.75">
      <c r="A163" s="65" t="s">
        <v>42</v>
      </c>
      <c r="B163" s="147" t="s">
        <v>389</v>
      </c>
      <c r="C163" s="66">
        <v>11982370902</v>
      </c>
      <c r="D163" s="66">
        <v>1</v>
      </c>
      <c r="E163" s="147" t="s">
        <v>72</v>
      </c>
      <c r="F163" s="96">
        <f>VLOOKUP(E163,CONFIGURAÇÃO!E:F,2,0)</f>
      </c>
      <c r="G163" s="147" t="s">
        <v>13</v>
      </c>
      <c r="H163" s="96">
        <f>IF(G163="CORTESIA",0,D163*F163)</f>
      </c>
      <c r="I163" s="147" t="s">
        <v>59</v>
      </c>
      <c r="J163" s="147" t="s">
        <v>74</v>
      </c>
      <c r="K163" s="147"/>
      <c r="L163" s="2"/>
      <c r="M163" s="1"/>
      <c r="N163" s="1"/>
      <c r="O163" s="1"/>
    </row>
    <row x14ac:dyDescent="0.25" r="164" customHeight="1" ht="18.75">
      <c r="A164" s="65" t="s">
        <v>42</v>
      </c>
      <c r="B164" s="147" t="s">
        <v>429</v>
      </c>
      <c r="C164" s="66">
        <v>11994807873</v>
      </c>
      <c r="D164" s="66">
        <v>1</v>
      </c>
      <c r="E164" s="147" t="s">
        <v>72</v>
      </c>
      <c r="F164" s="96">
        <f>VLOOKUP(E164,CONFIGURAÇÃO!E:F,2,0)</f>
      </c>
      <c r="G164" s="147" t="s">
        <v>13</v>
      </c>
      <c r="H164" s="96">
        <f>IF(G164="CORTESIA",0,D164*F164)</f>
      </c>
      <c r="I164" s="147" t="s">
        <v>59</v>
      </c>
      <c r="J164" s="147" t="s">
        <v>74</v>
      </c>
      <c r="K164" s="147"/>
      <c r="L164" s="2"/>
      <c r="M164" s="1"/>
      <c r="N164" s="1"/>
      <c r="O164" s="1"/>
    </row>
    <row x14ac:dyDescent="0.25" r="165" customHeight="1" ht="18.75">
      <c r="A165" s="65" t="s">
        <v>42</v>
      </c>
      <c r="B165" s="147" t="s">
        <v>434</v>
      </c>
      <c r="C165" s="66"/>
      <c r="D165" s="66">
        <v>1</v>
      </c>
      <c r="E165" s="147" t="s">
        <v>72</v>
      </c>
      <c r="F165" s="96">
        <f>VLOOKUP(E165,CONFIGURAÇÃO!E:F,2,0)</f>
      </c>
      <c r="G165" s="147" t="s">
        <v>13</v>
      </c>
      <c r="H165" s="96">
        <f>IF(G165="CORTESIA",0,D165*F165)</f>
      </c>
      <c r="I165" s="147" t="s">
        <v>59</v>
      </c>
      <c r="J165" s="147" t="s">
        <v>74</v>
      </c>
      <c r="K165" s="147"/>
      <c r="L165" s="2"/>
      <c r="M165" s="1"/>
      <c r="N165" s="1"/>
      <c r="O165" s="1"/>
    </row>
    <row x14ac:dyDescent="0.25" r="166" customHeight="1" ht="18.75">
      <c r="A166" s="65" t="s">
        <v>42</v>
      </c>
      <c r="B166" s="147" t="s">
        <v>435</v>
      </c>
      <c r="C166" s="66">
        <v>11942998011</v>
      </c>
      <c r="D166" s="66">
        <v>1</v>
      </c>
      <c r="E166" s="147" t="s">
        <v>72</v>
      </c>
      <c r="F166" s="96">
        <f>VLOOKUP(E166,CONFIGURAÇÃO!E:F,2,0)</f>
      </c>
      <c r="G166" s="147" t="s">
        <v>13</v>
      </c>
      <c r="H166" s="96">
        <f>IF(G166="CORTESIA",0,D166*F166)</f>
      </c>
      <c r="I166" s="147" t="s">
        <v>59</v>
      </c>
      <c r="J166" s="147" t="s">
        <v>74</v>
      </c>
      <c r="K166" s="147"/>
      <c r="L166" s="2"/>
      <c r="M166" s="1"/>
      <c r="N166" s="1"/>
      <c r="O166" s="1"/>
    </row>
    <row x14ac:dyDescent="0.25" r="167" customHeight="1" ht="18.75">
      <c r="A167" s="65" t="s">
        <v>42</v>
      </c>
      <c r="B167" s="147" t="s">
        <v>436</v>
      </c>
      <c r="C167" s="66">
        <v>11969174424</v>
      </c>
      <c r="D167" s="66">
        <v>1</v>
      </c>
      <c r="E167" s="147" t="s">
        <v>72</v>
      </c>
      <c r="F167" s="96">
        <f>VLOOKUP(E167,CONFIGURAÇÃO!E:F,2,0)</f>
      </c>
      <c r="G167" s="147" t="s">
        <v>13</v>
      </c>
      <c r="H167" s="96">
        <f>IF(G167="CORTESIA",0,D167*F167)</f>
      </c>
      <c r="I167" s="147" t="s">
        <v>59</v>
      </c>
      <c r="J167" s="147" t="s">
        <v>74</v>
      </c>
      <c r="K167" s="147"/>
      <c r="L167" s="2"/>
      <c r="M167" s="1"/>
      <c r="N167" s="1"/>
      <c r="O167" s="1"/>
    </row>
    <row x14ac:dyDescent="0.25" r="168" customHeight="1" ht="18.75">
      <c r="A168" s="65" t="s">
        <v>42</v>
      </c>
      <c r="B168" s="147" t="s">
        <v>437</v>
      </c>
      <c r="C168" s="66">
        <v>11930797040</v>
      </c>
      <c r="D168" s="66">
        <v>1</v>
      </c>
      <c r="E168" s="147" t="s">
        <v>72</v>
      </c>
      <c r="F168" s="96">
        <f>VLOOKUP(E168,CONFIGURAÇÃO!E:F,2,0)</f>
      </c>
      <c r="G168" s="147" t="s">
        <v>13</v>
      </c>
      <c r="H168" s="96">
        <f>IF(G168="CORTESIA",0,D168*F168)</f>
      </c>
      <c r="I168" s="147" t="s">
        <v>59</v>
      </c>
      <c r="J168" s="147" t="s">
        <v>74</v>
      </c>
      <c r="K168" s="147" t="s">
        <v>385</v>
      </c>
      <c r="L168" s="2"/>
      <c r="M168" s="1"/>
      <c r="N168" s="1"/>
      <c r="O168" s="1"/>
    </row>
    <row x14ac:dyDescent="0.25" r="169" customHeight="1" ht="18.75">
      <c r="A169" s="65" t="s">
        <v>42</v>
      </c>
      <c r="B169" s="147" t="s">
        <v>438</v>
      </c>
      <c r="C169" s="66">
        <v>11940522469</v>
      </c>
      <c r="D169" s="66">
        <v>1</v>
      </c>
      <c r="E169" s="147" t="s">
        <v>72</v>
      </c>
      <c r="F169" s="96">
        <f>VLOOKUP(E169,CONFIGURAÇÃO!E:F,2,0)</f>
      </c>
      <c r="G169" s="147" t="s">
        <v>13</v>
      </c>
      <c r="H169" s="96">
        <f>IF(G169="CORTESIA",0,D169*F169)</f>
      </c>
      <c r="I169" s="147" t="s">
        <v>59</v>
      </c>
      <c r="J169" s="147" t="s">
        <v>74</v>
      </c>
      <c r="K169" s="147"/>
      <c r="L169" s="2"/>
      <c r="M169" s="1"/>
      <c r="N169" s="1"/>
      <c r="O169" s="1"/>
    </row>
    <row x14ac:dyDescent="0.25" r="170" customHeight="1" ht="18.75">
      <c r="A170" s="65" t="s">
        <v>42</v>
      </c>
      <c r="B170" s="147" t="s">
        <v>324</v>
      </c>
      <c r="C170" s="66">
        <v>11972383586</v>
      </c>
      <c r="D170" s="66">
        <v>1</v>
      </c>
      <c r="E170" s="147" t="s">
        <v>72</v>
      </c>
      <c r="F170" s="96">
        <f>VLOOKUP(E170,CONFIGURAÇÃO!E:F,2,0)</f>
      </c>
      <c r="G170" s="147" t="s">
        <v>13</v>
      </c>
      <c r="H170" s="96">
        <f>IF(G170="CORTESIA",0,D170*F170)</f>
      </c>
      <c r="I170" s="147" t="s">
        <v>59</v>
      </c>
      <c r="J170" s="147" t="s">
        <v>74</v>
      </c>
      <c r="K170" s="147" t="s">
        <v>439</v>
      </c>
      <c r="L170" s="2"/>
      <c r="M170" s="1"/>
      <c r="N170" s="1"/>
      <c r="O170" s="1"/>
    </row>
    <row x14ac:dyDescent="0.25" r="171" customHeight="1" ht="18.75">
      <c r="A171" s="65" t="s">
        <v>42</v>
      </c>
      <c r="B171" s="147" t="s">
        <v>424</v>
      </c>
      <c r="C171" s="66">
        <v>11932597821</v>
      </c>
      <c r="D171" s="66">
        <v>2</v>
      </c>
      <c r="E171" s="147" t="s">
        <v>433</v>
      </c>
      <c r="F171" s="96">
        <f>VLOOKUP(E171,CONFIGURAÇÃO!E:F,2,0)</f>
      </c>
      <c r="G171" s="147" t="s">
        <v>73</v>
      </c>
      <c r="H171" s="96">
        <f>IF(G171="CORTESIA",0,D171*F171)</f>
      </c>
      <c r="I171" s="147" t="s">
        <v>59</v>
      </c>
      <c r="J171" s="147" t="s">
        <v>74</v>
      </c>
      <c r="K171" s="147" t="s">
        <v>385</v>
      </c>
      <c r="L171" s="2"/>
      <c r="M171" s="1"/>
      <c r="N171" s="1"/>
      <c r="O171" s="1"/>
    </row>
    <row x14ac:dyDescent="0.25" r="172" customHeight="1" ht="18.75">
      <c r="A172" s="65" t="s">
        <v>42</v>
      </c>
      <c r="B172" s="147" t="s">
        <v>395</v>
      </c>
      <c r="C172" s="66">
        <v>11981536575</v>
      </c>
      <c r="D172" s="66">
        <v>1</v>
      </c>
      <c r="E172" s="147" t="s">
        <v>72</v>
      </c>
      <c r="F172" s="96">
        <f>VLOOKUP(E172,CONFIGURAÇÃO!E:F,2,0)</f>
      </c>
      <c r="G172" s="147" t="s">
        <v>13</v>
      </c>
      <c r="H172" s="96">
        <f>IF(G172="CORTESIA",0,D172*F172)</f>
      </c>
      <c r="I172" s="147" t="s">
        <v>59</v>
      </c>
      <c r="J172" s="147" t="s">
        <v>74</v>
      </c>
      <c r="K172" s="147"/>
      <c r="L172" s="2"/>
      <c r="M172" s="1"/>
      <c r="N172" s="1"/>
      <c r="O172" s="1"/>
    </row>
    <row x14ac:dyDescent="0.25" r="173" customHeight="1" ht="18.75">
      <c r="A173" s="65" t="s">
        <v>42</v>
      </c>
      <c r="B173" s="147" t="s">
        <v>217</v>
      </c>
      <c r="C173" s="66">
        <v>11970355431</v>
      </c>
      <c r="D173" s="66">
        <v>1</v>
      </c>
      <c r="E173" s="147" t="s">
        <v>72</v>
      </c>
      <c r="F173" s="96">
        <f>VLOOKUP(E173,CONFIGURAÇÃO!E:F,2,0)</f>
      </c>
      <c r="G173" s="147" t="s">
        <v>73</v>
      </c>
      <c r="H173" s="96">
        <f>IF(G173="CORTESIA",0,D173*F173)</f>
      </c>
      <c r="I173" s="147" t="s">
        <v>59</v>
      </c>
      <c r="J173" s="147" t="s">
        <v>74</v>
      </c>
      <c r="K173" s="147" t="s">
        <v>393</v>
      </c>
      <c r="L173" s="2"/>
      <c r="M173" s="1"/>
      <c r="N173" s="1"/>
      <c r="O173" s="1"/>
    </row>
    <row x14ac:dyDescent="0.25" r="174" customHeight="1" ht="18.75" hidden="1">
      <c r="A174" s="65" t="s">
        <v>43</v>
      </c>
      <c r="B174" s="147" t="s">
        <v>382</v>
      </c>
      <c r="C174" s="66">
        <v>11914797854</v>
      </c>
      <c r="D174" s="66">
        <v>1</v>
      </c>
      <c r="E174" s="147" t="s">
        <v>78</v>
      </c>
      <c r="F174" s="96">
        <f>VLOOKUP(E174,CONFIGURAÇÃO!E:F,2,0)</f>
      </c>
      <c r="G174" s="147" t="s">
        <v>13</v>
      </c>
      <c r="H174" s="96">
        <f>IF(G174="CORTESIA",0,D174*F174)</f>
      </c>
      <c r="I174" s="147" t="s">
        <v>22</v>
      </c>
      <c r="J174" s="147" t="s">
        <v>74</v>
      </c>
      <c r="K174" s="147"/>
      <c r="L174" s="2"/>
      <c r="M174" s="1"/>
      <c r="N174" s="1"/>
      <c r="O174" s="1"/>
    </row>
    <row x14ac:dyDescent="0.25" r="175" customHeight="1" ht="18.75" hidden="1">
      <c r="A175" s="65" t="s">
        <v>43</v>
      </c>
      <c r="B175" s="147" t="s">
        <v>382</v>
      </c>
      <c r="C175" s="66">
        <v>11914797854</v>
      </c>
      <c r="D175" s="66">
        <v>1</v>
      </c>
      <c r="E175" s="147" t="s">
        <v>72</v>
      </c>
      <c r="F175" s="96">
        <f>VLOOKUP(E175,CONFIGURAÇÃO!E:F,2,0)</f>
      </c>
      <c r="G175" s="147" t="s">
        <v>13</v>
      </c>
      <c r="H175" s="96">
        <f>IF(G175="CORTESIA",0,D175*F175)</f>
      </c>
      <c r="I175" s="147" t="s">
        <v>22</v>
      </c>
      <c r="J175" s="147" t="s">
        <v>74</v>
      </c>
      <c r="K175" s="147"/>
      <c r="L175" s="2"/>
      <c r="M175" s="1"/>
      <c r="N175" s="1"/>
      <c r="O175" s="1"/>
    </row>
    <row x14ac:dyDescent="0.25" r="176" customHeight="1" ht="18.75" hidden="1">
      <c r="A176" s="65" t="s">
        <v>43</v>
      </c>
      <c r="B176" s="147" t="s">
        <v>383</v>
      </c>
      <c r="C176" s="66">
        <v>11997856707</v>
      </c>
      <c r="D176" s="66">
        <v>1</v>
      </c>
      <c r="E176" s="147" t="s">
        <v>72</v>
      </c>
      <c r="F176" s="96">
        <f>VLOOKUP(E176,CONFIGURAÇÃO!E:F,2,0)</f>
      </c>
      <c r="G176" s="147" t="s">
        <v>13</v>
      </c>
      <c r="H176" s="96">
        <f>IF(G176="CORTESIA",0,D176*F176)</f>
      </c>
      <c r="I176" s="147" t="s">
        <v>22</v>
      </c>
      <c r="J176" s="147" t="s">
        <v>74</v>
      </c>
      <c r="K176" s="147"/>
      <c r="L176" s="2"/>
      <c r="M176" s="1"/>
      <c r="N176" s="1"/>
      <c r="O176" s="1"/>
    </row>
    <row x14ac:dyDescent="0.25" r="177" customHeight="1" ht="18.75" hidden="1">
      <c r="A177" s="65" t="s">
        <v>43</v>
      </c>
      <c r="B177" s="147" t="s">
        <v>129</v>
      </c>
      <c r="C177" s="66">
        <v>11994748434</v>
      </c>
      <c r="D177" s="66">
        <v>1</v>
      </c>
      <c r="E177" s="147" t="s">
        <v>72</v>
      </c>
      <c r="F177" s="96">
        <f>VLOOKUP(E177,CONFIGURAÇÃO!E:F,2,0)</f>
      </c>
      <c r="G177" s="147" t="s">
        <v>13</v>
      </c>
      <c r="H177" s="96">
        <f>IF(G177="CORTESIA",0,D177*F177)</f>
      </c>
      <c r="I177" s="147" t="s">
        <v>22</v>
      </c>
      <c r="J177" s="147" t="s">
        <v>74</v>
      </c>
      <c r="K177" s="147"/>
      <c r="L177" s="2"/>
      <c r="M177" s="1"/>
      <c r="N177" s="1"/>
      <c r="O177" s="1"/>
    </row>
    <row x14ac:dyDescent="0.25" r="178" customHeight="1" ht="18.75" hidden="1">
      <c r="A178" s="65" t="s">
        <v>43</v>
      </c>
      <c r="B178" s="147" t="s">
        <v>71</v>
      </c>
      <c r="C178" s="66">
        <v>11914183024</v>
      </c>
      <c r="D178" s="66">
        <v>1</v>
      </c>
      <c r="E178" s="147" t="s">
        <v>78</v>
      </c>
      <c r="F178" s="96">
        <f>VLOOKUP(E178,CONFIGURAÇÃO!E:F,2,0)</f>
      </c>
      <c r="G178" s="147" t="s">
        <v>13</v>
      </c>
      <c r="H178" s="96">
        <f>IF(G178="CORTESIA",0,D178*F178)</f>
      </c>
      <c r="I178" s="147" t="s">
        <v>22</v>
      </c>
      <c r="J178" s="147" t="s">
        <v>74</v>
      </c>
      <c r="K178" s="147"/>
      <c r="L178" s="2"/>
      <c r="M178" s="1"/>
      <c r="N178" s="1"/>
      <c r="O178" s="1"/>
    </row>
    <row x14ac:dyDescent="0.25" r="179" customHeight="1" ht="18.75" hidden="1">
      <c r="A179" s="65" t="s">
        <v>43</v>
      </c>
      <c r="B179" s="147" t="s">
        <v>71</v>
      </c>
      <c r="C179" s="66">
        <v>11914183024</v>
      </c>
      <c r="D179" s="66">
        <v>1</v>
      </c>
      <c r="E179" s="147" t="s">
        <v>72</v>
      </c>
      <c r="F179" s="96">
        <f>VLOOKUP(E179,CONFIGURAÇÃO!E:F,2,0)</f>
      </c>
      <c r="G179" s="147" t="s">
        <v>13</v>
      </c>
      <c r="H179" s="96">
        <f>IF(G179="CORTESIA",0,D179*F179)</f>
      </c>
      <c r="I179" s="147" t="s">
        <v>22</v>
      </c>
      <c r="J179" s="147" t="s">
        <v>74</v>
      </c>
      <c r="K179" s="147"/>
      <c r="L179" s="2"/>
      <c r="M179" s="1"/>
      <c r="N179" s="1"/>
      <c r="O179" s="1"/>
    </row>
    <row x14ac:dyDescent="0.25" r="180" customHeight="1" ht="18.75" hidden="1">
      <c r="A180" s="65" t="s">
        <v>43</v>
      </c>
      <c r="B180" s="147" t="s">
        <v>129</v>
      </c>
      <c r="C180" s="66">
        <v>11994748434</v>
      </c>
      <c r="D180" s="66">
        <v>1</v>
      </c>
      <c r="E180" s="147" t="s">
        <v>78</v>
      </c>
      <c r="F180" s="96">
        <f>VLOOKUP(E180,CONFIGURAÇÃO!E:F,2,0)</f>
      </c>
      <c r="G180" s="147" t="s">
        <v>13</v>
      </c>
      <c r="H180" s="96">
        <f>IF(G180="CORTESIA",0,D180*F180)</f>
      </c>
      <c r="I180" s="147" t="s">
        <v>22</v>
      </c>
      <c r="J180" s="147" t="s">
        <v>74</v>
      </c>
      <c r="K180" s="147"/>
      <c r="L180" s="2"/>
      <c r="M180" s="1"/>
      <c r="N180" s="1"/>
      <c r="O180" s="1"/>
    </row>
    <row x14ac:dyDescent="0.25" r="181" customHeight="1" ht="18.75" hidden="1">
      <c r="A181" s="65" t="s">
        <v>43</v>
      </c>
      <c r="B181" s="147" t="s">
        <v>383</v>
      </c>
      <c r="C181" s="66">
        <v>11997856707</v>
      </c>
      <c r="D181" s="66">
        <v>1</v>
      </c>
      <c r="E181" s="147" t="s">
        <v>72</v>
      </c>
      <c r="F181" s="96">
        <f>VLOOKUP(E181,CONFIGURAÇÃO!E:F,2,0)</f>
      </c>
      <c r="G181" s="147" t="s">
        <v>52</v>
      </c>
      <c r="H181" s="96">
        <f>IF(G181="CORTESIA",0,D181*F181)</f>
      </c>
      <c r="I181" s="147" t="s">
        <v>22</v>
      </c>
      <c r="J181" s="147" t="s">
        <v>74</v>
      </c>
      <c r="K181" s="147"/>
      <c r="L181" s="2"/>
      <c r="M181" s="1"/>
      <c r="N181" s="1"/>
      <c r="O181" s="1"/>
    </row>
    <row x14ac:dyDescent="0.25" r="182" customHeight="1" ht="18.75" hidden="1">
      <c r="A182" s="65" t="s">
        <v>43</v>
      </c>
      <c r="B182" s="147" t="s">
        <v>129</v>
      </c>
      <c r="C182" s="66">
        <v>11994748434</v>
      </c>
      <c r="D182" s="66">
        <v>1</v>
      </c>
      <c r="E182" s="147" t="s">
        <v>72</v>
      </c>
      <c r="F182" s="96">
        <f>VLOOKUP(E182,CONFIGURAÇÃO!E:F,2,0)</f>
      </c>
      <c r="G182" s="147" t="s">
        <v>52</v>
      </c>
      <c r="H182" s="96">
        <f>IF(G182="CORTESIA",0,D182*F182)</f>
      </c>
      <c r="I182" s="147" t="s">
        <v>22</v>
      </c>
      <c r="J182" s="147" t="s">
        <v>74</v>
      </c>
      <c r="K182" s="147"/>
      <c r="L182" s="2"/>
      <c r="M182" s="1"/>
      <c r="N182" s="1"/>
      <c r="O182" s="1"/>
    </row>
    <row x14ac:dyDescent="0.25" r="183" customHeight="1" ht="18.75">
      <c r="A183" s="65" t="s">
        <v>43</v>
      </c>
      <c r="B183" s="147" t="s">
        <v>322</v>
      </c>
      <c r="C183" s="66">
        <v>11956559415</v>
      </c>
      <c r="D183" s="66">
        <v>1</v>
      </c>
      <c r="E183" s="147" t="s">
        <v>78</v>
      </c>
      <c r="F183" s="96">
        <f>VLOOKUP(E183,CONFIGURAÇÃO!E:F,2,0)</f>
      </c>
      <c r="G183" s="147" t="s">
        <v>13</v>
      </c>
      <c r="H183" s="96">
        <f>IF(G183="CORTESIA",0,D183*F183)</f>
      </c>
      <c r="I183" s="147" t="s">
        <v>59</v>
      </c>
      <c r="J183" s="147" t="s">
        <v>74</v>
      </c>
      <c r="K183" s="147"/>
      <c r="L183" s="2"/>
      <c r="M183" s="1"/>
      <c r="N183" s="1"/>
      <c r="O183" s="1"/>
    </row>
    <row x14ac:dyDescent="0.25" r="184" customHeight="1" ht="18.75">
      <c r="A184" s="65" t="s">
        <v>43</v>
      </c>
      <c r="B184" s="147" t="s">
        <v>427</v>
      </c>
      <c r="C184" s="66">
        <v>11987159059</v>
      </c>
      <c r="D184" s="66">
        <v>1</v>
      </c>
      <c r="E184" s="147" t="s">
        <v>78</v>
      </c>
      <c r="F184" s="96">
        <f>VLOOKUP(E184,CONFIGURAÇÃO!E:F,2,0)</f>
      </c>
      <c r="G184" s="147" t="s">
        <v>73</v>
      </c>
      <c r="H184" s="96">
        <f>IF(G184="CORTESIA",0,D184*F184)</f>
      </c>
      <c r="I184" s="147" t="s">
        <v>59</v>
      </c>
      <c r="J184" s="147" t="s">
        <v>74</v>
      </c>
      <c r="K184" s="149" t="s">
        <v>428</v>
      </c>
      <c r="L184" s="2"/>
      <c r="M184" s="1"/>
      <c r="N184" s="1"/>
      <c r="O184" s="1"/>
    </row>
    <row x14ac:dyDescent="0.25" r="185" customHeight="1" ht="18.75">
      <c r="A185" s="65" t="s">
        <v>43</v>
      </c>
      <c r="B185" s="147" t="s">
        <v>427</v>
      </c>
      <c r="C185" s="66">
        <v>11987159059</v>
      </c>
      <c r="D185" s="66">
        <v>1</v>
      </c>
      <c r="E185" s="147" t="s">
        <v>72</v>
      </c>
      <c r="F185" s="96">
        <f>VLOOKUP(E185,CONFIGURAÇÃO!E:F,2,0)</f>
      </c>
      <c r="G185" s="147" t="s">
        <v>73</v>
      </c>
      <c r="H185" s="96">
        <f>IF(G185="CORTESIA",0,D185*F185)</f>
      </c>
      <c r="I185" s="147" t="s">
        <v>59</v>
      </c>
      <c r="J185" s="147" t="s">
        <v>74</v>
      </c>
      <c r="K185" s="149" t="s">
        <v>428</v>
      </c>
      <c r="L185" s="2"/>
      <c r="M185" s="1"/>
      <c r="N185" s="1"/>
      <c r="O185" s="1"/>
    </row>
    <row x14ac:dyDescent="0.25" r="186" customHeight="1" ht="18.75">
      <c r="A186" s="65" t="s">
        <v>43</v>
      </c>
      <c r="B186" s="147" t="s">
        <v>440</v>
      </c>
      <c r="C186" s="66">
        <v>11994953526</v>
      </c>
      <c r="D186" s="66">
        <v>1</v>
      </c>
      <c r="E186" s="147" t="s">
        <v>72</v>
      </c>
      <c r="F186" s="96">
        <f>VLOOKUP(E186,CONFIGURAÇÃO!E:F,2,0)</f>
      </c>
      <c r="G186" s="147" t="s">
        <v>13</v>
      </c>
      <c r="H186" s="96">
        <f>IF(G186="CORTESIA",0,D186*F186)</f>
      </c>
      <c r="I186" s="147" t="s">
        <v>59</v>
      </c>
      <c r="J186" s="147" t="s">
        <v>74</v>
      </c>
      <c r="K186" s="147"/>
      <c r="L186" s="2"/>
      <c r="M186" s="1"/>
      <c r="N186" s="1"/>
      <c r="O186" s="1"/>
    </row>
    <row x14ac:dyDescent="0.25" r="187" customHeight="1" ht="18.75">
      <c r="A187" s="65" t="s">
        <v>43</v>
      </c>
      <c r="B187" s="147" t="s">
        <v>441</v>
      </c>
      <c r="C187" s="66">
        <v>11953493940</v>
      </c>
      <c r="D187" s="66">
        <v>1</v>
      </c>
      <c r="E187" s="147" t="s">
        <v>72</v>
      </c>
      <c r="F187" s="96">
        <f>VLOOKUP(E187,CONFIGURAÇÃO!E:F,2,0)</f>
      </c>
      <c r="G187" s="147" t="s">
        <v>13</v>
      </c>
      <c r="H187" s="96">
        <f>IF(G187="CORTESIA",0,D187*F187)</f>
      </c>
      <c r="I187" s="147" t="s">
        <v>59</v>
      </c>
      <c r="J187" s="147" t="s">
        <v>74</v>
      </c>
      <c r="K187" s="147"/>
      <c r="L187" s="2"/>
      <c r="M187" s="1"/>
      <c r="N187" s="1"/>
      <c r="O187" s="1"/>
    </row>
    <row x14ac:dyDescent="0.25" r="188" customHeight="1" ht="18.75">
      <c r="A188" s="65" t="s">
        <v>43</v>
      </c>
      <c r="B188" s="147" t="s">
        <v>442</v>
      </c>
      <c r="C188" s="66">
        <v>11943267785</v>
      </c>
      <c r="D188" s="66">
        <v>1</v>
      </c>
      <c r="E188" s="147" t="s">
        <v>78</v>
      </c>
      <c r="F188" s="96">
        <f>VLOOKUP(E188,CONFIGURAÇÃO!E:F,2,0)</f>
      </c>
      <c r="G188" s="147" t="s">
        <v>13</v>
      </c>
      <c r="H188" s="96">
        <f>IF(G188="CORTESIA",0,D188*F188)</f>
      </c>
      <c r="I188" s="147" t="s">
        <v>59</v>
      </c>
      <c r="J188" s="147" t="s">
        <v>74</v>
      </c>
      <c r="K188" s="147"/>
      <c r="L188" s="2"/>
      <c r="M188" s="1"/>
      <c r="N188" s="1"/>
      <c r="O188" s="1"/>
    </row>
    <row x14ac:dyDescent="0.25" r="189" customHeight="1" ht="18.75">
      <c r="A189" s="65" t="s">
        <v>43</v>
      </c>
      <c r="B189" s="147" t="s">
        <v>443</v>
      </c>
      <c r="C189" s="66">
        <v>11933819477</v>
      </c>
      <c r="D189" s="66">
        <v>1</v>
      </c>
      <c r="E189" s="147" t="s">
        <v>72</v>
      </c>
      <c r="F189" s="96">
        <f>VLOOKUP(E189,CONFIGURAÇÃO!E:F,2,0)</f>
      </c>
      <c r="G189" s="147" t="s">
        <v>13</v>
      </c>
      <c r="H189" s="96">
        <f>IF(G189="CORTESIA",0,D189*F189)</f>
      </c>
      <c r="I189" s="147" t="s">
        <v>59</v>
      </c>
      <c r="J189" s="147" t="s">
        <v>74</v>
      </c>
      <c r="K189" s="147"/>
      <c r="L189" s="2"/>
      <c r="M189" s="1"/>
      <c r="N189" s="1"/>
      <c r="O189" s="1"/>
    </row>
    <row x14ac:dyDescent="0.25" r="190" customHeight="1" ht="18.75">
      <c r="A190" s="65" t="s">
        <v>43</v>
      </c>
      <c r="B190" s="147" t="s">
        <v>419</v>
      </c>
      <c r="C190" s="66">
        <v>11957134404</v>
      </c>
      <c r="D190" s="66">
        <v>1</v>
      </c>
      <c r="E190" s="147" t="s">
        <v>72</v>
      </c>
      <c r="F190" s="96">
        <f>VLOOKUP(E190,CONFIGURAÇÃO!E:F,2,0)</f>
      </c>
      <c r="G190" s="147" t="s">
        <v>13</v>
      </c>
      <c r="H190" s="96">
        <f>IF(G190="CORTESIA",0,D190*F190)</f>
      </c>
      <c r="I190" s="147" t="s">
        <v>59</v>
      </c>
      <c r="J190" s="147" t="s">
        <v>74</v>
      </c>
      <c r="K190" s="147"/>
      <c r="L190" s="2"/>
      <c r="M190" s="1"/>
      <c r="N190" s="1"/>
      <c r="O190" s="1"/>
    </row>
    <row x14ac:dyDescent="0.25" r="191" customHeight="1" ht="18.75">
      <c r="A191" s="65" t="s">
        <v>43</v>
      </c>
      <c r="B191" s="147" t="s">
        <v>444</v>
      </c>
      <c r="C191" s="66">
        <v>11917316267</v>
      </c>
      <c r="D191" s="66">
        <v>1</v>
      </c>
      <c r="E191" s="147" t="s">
        <v>72</v>
      </c>
      <c r="F191" s="96">
        <f>VLOOKUP(E191,CONFIGURAÇÃO!E:F,2,0)</f>
      </c>
      <c r="G191" s="147" t="s">
        <v>13</v>
      </c>
      <c r="H191" s="96">
        <f>IF(G191="CORTESIA",0,D191*F191)</f>
      </c>
      <c r="I191" s="147" t="s">
        <v>59</v>
      </c>
      <c r="J191" s="147" t="s">
        <v>74</v>
      </c>
      <c r="K191" s="149" t="s">
        <v>428</v>
      </c>
      <c r="L191" s="2"/>
      <c r="M191" s="1"/>
      <c r="N191" s="1"/>
      <c r="O191" s="1"/>
    </row>
    <row x14ac:dyDescent="0.25" r="192" customHeight="1" ht="18.75">
      <c r="A192" s="65" t="s">
        <v>43</v>
      </c>
      <c r="B192" s="147" t="s">
        <v>445</v>
      </c>
      <c r="C192" s="66">
        <v>11910033308</v>
      </c>
      <c r="D192" s="66">
        <v>1</v>
      </c>
      <c r="E192" s="147" t="s">
        <v>72</v>
      </c>
      <c r="F192" s="96">
        <f>VLOOKUP(E192,CONFIGURAÇÃO!E:F,2,0)</f>
      </c>
      <c r="G192" s="147" t="s">
        <v>13</v>
      </c>
      <c r="H192" s="96">
        <f>IF(G192="CORTESIA",0,D192*F192)</f>
      </c>
      <c r="I192" s="147" t="s">
        <v>59</v>
      </c>
      <c r="J192" s="147" t="s">
        <v>74</v>
      </c>
      <c r="K192" s="147"/>
      <c r="L192" s="2"/>
      <c r="M192" s="1"/>
      <c r="N192" s="1"/>
      <c r="O192" s="1"/>
    </row>
    <row x14ac:dyDescent="0.25" r="193" customHeight="1" ht="18.75">
      <c r="A193" s="65" t="s">
        <v>43</v>
      </c>
      <c r="B193" s="147" t="s">
        <v>446</v>
      </c>
      <c r="C193" s="66">
        <v>11916519986</v>
      </c>
      <c r="D193" s="66">
        <v>1</v>
      </c>
      <c r="E193" s="147" t="s">
        <v>72</v>
      </c>
      <c r="F193" s="96">
        <f>VLOOKUP(E193,CONFIGURAÇÃO!E:F,2,0)</f>
      </c>
      <c r="G193" s="147" t="s">
        <v>13</v>
      </c>
      <c r="H193" s="96">
        <f>IF(G193="CORTESIA",0,D193*F193)</f>
      </c>
      <c r="I193" s="147" t="s">
        <v>59</v>
      </c>
      <c r="J193" s="147" t="s">
        <v>74</v>
      </c>
      <c r="K193" s="147"/>
      <c r="L193" s="2"/>
      <c r="M193" s="1"/>
      <c r="N193" s="1"/>
      <c r="O193" s="1"/>
    </row>
    <row x14ac:dyDescent="0.25" r="194" customHeight="1" ht="18.75">
      <c r="A194" s="65" t="s">
        <v>43</v>
      </c>
      <c r="B194" s="147" t="s">
        <v>421</v>
      </c>
      <c r="C194" s="66">
        <v>11911036051</v>
      </c>
      <c r="D194" s="66">
        <v>1</v>
      </c>
      <c r="E194" s="147" t="s">
        <v>72</v>
      </c>
      <c r="F194" s="96">
        <f>VLOOKUP(E194,CONFIGURAÇÃO!E:F,2,0)</f>
      </c>
      <c r="G194" s="147" t="s">
        <v>73</v>
      </c>
      <c r="H194" s="96">
        <f>IF(G194="CORTESIA",0,D194*F194)</f>
      </c>
      <c r="I194" s="147" t="s">
        <v>59</v>
      </c>
      <c r="J194" s="147" t="s">
        <v>74</v>
      </c>
      <c r="K194" s="147"/>
      <c r="L194" s="2"/>
      <c r="M194" s="1"/>
      <c r="N194" s="1"/>
      <c r="O194" s="1"/>
    </row>
    <row x14ac:dyDescent="0.25" r="195" customHeight="1" ht="18.75">
      <c r="A195" s="65" t="s">
        <v>43</v>
      </c>
      <c r="B195" s="147" t="s">
        <v>447</v>
      </c>
      <c r="C195" s="66"/>
      <c r="D195" s="66">
        <v>1</v>
      </c>
      <c r="E195" s="147" t="s">
        <v>72</v>
      </c>
      <c r="F195" s="96">
        <f>VLOOKUP(E195,CONFIGURAÇÃO!E:F,2,0)</f>
      </c>
      <c r="G195" s="147" t="s">
        <v>13</v>
      </c>
      <c r="H195" s="96">
        <f>IF(G195="CORTESIA",0,D195*F195)</f>
      </c>
      <c r="I195" s="147" t="s">
        <v>59</v>
      </c>
      <c r="J195" s="147" t="s">
        <v>74</v>
      </c>
      <c r="K195" s="147"/>
      <c r="L195" s="2"/>
      <c r="M195" s="1"/>
      <c r="N195" s="1"/>
      <c r="O195" s="1"/>
    </row>
    <row x14ac:dyDescent="0.25" r="196" customHeight="1" ht="18.75">
      <c r="A196" s="65" t="s">
        <v>43</v>
      </c>
      <c r="B196" s="147" t="s">
        <v>243</v>
      </c>
      <c r="C196" s="66">
        <v>11963580048</v>
      </c>
      <c r="D196" s="66">
        <v>3</v>
      </c>
      <c r="E196" s="147" t="s">
        <v>72</v>
      </c>
      <c r="F196" s="96">
        <f>VLOOKUP(E196,CONFIGURAÇÃO!E:F,2,0)</f>
      </c>
      <c r="G196" s="147" t="s">
        <v>13</v>
      </c>
      <c r="H196" s="96">
        <f>IF(G196="CORTESIA",0,D196*F196)</f>
      </c>
      <c r="I196" s="147" t="s">
        <v>59</v>
      </c>
      <c r="J196" s="147" t="s">
        <v>74</v>
      </c>
      <c r="K196" s="147"/>
      <c r="L196" s="2"/>
      <c r="M196" s="1"/>
      <c r="N196" s="1"/>
      <c r="O196" s="1"/>
    </row>
    <row x14ac:dyDescent="0.25" r="197" customHeight="1" ht="18.75">
      <c r="A197" s="65" t="s">
        <v>43</v>
      </c>
      <c r="B197" s="147" t="s">
        <v>424</v>
      </c>
      <c r="C197" s="66">
        <v>11932597821</v>
      </c>
      <c r="D197" s="66">
        <v>1</v>
      </c>
      <c r="E197" s="147" t="s">
        <v>72</v>
      </c>
      <c r="F197" s="96">
        <f>VLOOKUP(E197,CONFIGURAÇÃO!E:F,2,0)</f>
      </c>
      <c r="G197" s="147" t="s">
        <v>73</v>
      </c>
      <c r="H197" s="96">
        <f>IF(G197="CORTESIA",0,D197*F197)</f>
      </c>
      <c r="I197" s="147" t="s">
        <v>59</v>
      </c>
      <c r="J197" s="147" t="s">
        <v>74</v>
      </c>
      <c r="K197" s="147" t="s">
        <v>385</v>
      </c>
      <c r="L197" s="2"/>
      <c r="M197" s="1"/>
      <c r="N197" s="1"/>
      <c r="O197" s="1"/>
    </row>
    <row x14ac:dyDescent="0.25" r="198" customHeight="1" ht="18.75" hidden="1">
      <c r="A198" s="65" t="s">
        <v>44</v>
      </c>
      <c r="B198" s="147" t="s">
        <v>382</v>
      </c>
      <c r="C198" s="66">
        <v>11914797854</v>
      </c>
      <c r="D198" s="66">
        <v>2</v>
      </c>
      <c r="E198" s="147" t="s">
        <v>78</v>
      </c>
      <c r="F198" s="96">
        <f>VLOOKUP(E198,CONFIGURAÇÃO!E:F,2,0)</f>
      </c>
      <c r="G198" s="147" t="s">
        <v>13</v>
      </c>
      <c r="H198" s="96">
        <f>IF(G198="CORTESIA",0,D198*F198)</f>
      </c>
      <c r="I198" s="147" t="s">
        <v>22</v>
      </c>
      <c r="J198" s="147" t="s">
        <v>74</v>
      </c>
      <c r="K198" s="147"/>
      <c r="L198" s="2"/>
      <c r="M198" s="1"/>
      <c r="N198" s="1"/>
      <c r="O198" s="1"/>
    </row>
    <row x14ac:dyDescent="0.25" r="199" customHeight="1" ht="18.75" hidden="1">
      <c r="A199" s="65" t="s">
        <v>44</v>
      </c>
      <c r="B199" s="147" t="s">
        <v>79</v>
      </c>
      <c r="C199" s="66">
        <v>11961271147</v>
      </c>
      <c r="D199" s="66">
        <v>1</v>
      </c>
      <c r="E199" s="147" t="s">
        <v>78</v>
      </c>
      <c r="F199" s="96">
        <f>VLOOKUP(E199,CONFIGURAÇÃO!E:F,2,0)</f>
      </c>
      <c r="G199" s="147" t="s">
        <v>13</v>
      </c>
      <c r="H199" s="96">
        <f>IF(G199="CORTESIA",0,D199*F199)</f>
      </c>
      <c r="I199" s="147" t="s">
        <v>22</v>
      </c>
      <c r="J199" s="147" t="s">
        <v>74</v>
      </c>
      <c r="K199" s="147"/>
      <c r="L199" s="2"/>
      <c r="M199" s="1"/>
      <c r="N199" s="1"/>
      <c r="O199" s="1"/>
    </row>
    <row x14ac:dyDescent="0.25" r="200" customHeight="1" ht="18.75" hidden="1">
      <c r="A200" s="65" t="s">
        <v>44</v>
      </c>
      <c r="B200" s="147" t="s">
        <v>355</v>
      </c>
      <c r="C200" s="66">
        <v>11977790257</v>
      </c>
      <c r="D200" s="66">
        <v>1</v>
      </c>
      <c r="E200" s="147" t="s">
        <v>171</v>
      </c>
      <c r="F200" s="96">
        <f>VLOOKUP(E200,CONFIGURAÇÃO!E:F,2,0)</f>
      </c>
      <c r="G200" s="147" t="s">
        <v>13</v>
      </c>
      <c r="H200" s="96">
        <f>IF(G200="CORTESIA",0,D200*F200)</f>
      </c>
      <c r="I200" s="147" t="s">
        <v>22</v>
      </c>
      <c r="J200" s="147" t="s">
        <v>74</v>
      </c>
      <c r="K200" s="147"/>
      <c r="L200" s="2"/>
      <c r="M200" s="1"/>
      <c r="N200" s="1"/>
      <c r="O200" s="1"/>
    </row>
    <row x14ac:dyDescent="0.25" r="201" customHeight="1" ht="18.75" hidden="1">
      <c r="A201" s="65" t="s">
        <v>44</v>
      </c>
      <c r="B201" s="147" t="s">
        <v>137</v>
      </c>
      <c r="C201" s="66">
        <v>11958078086</v>
      </c>
      <c r="D201" s="66">
        <v>1</v>
      </c>
      <c r="E201" s="147" t="s">
        <v>171</v>
      </c>
      <c r="F201" s="96">
        <f>VLOOKUP(E201,CONFIGURAÇÃO!E:F,2,0)</f>
      </c>
      <c r="G201" s="147" t="s">
        <v>13</v>
      </c>
      <c r="H201" s="96">
        <f>IF(G201="CORTESIA",0,D201*F201)</f>
      </c>
      <c r="I201" s="147" t="s">
        <v>22</v>
      </c>
      <c r="J201" s="147" t="s">
        <v>74</v>
      </c>
      <c r="K201" s="147"/>
      <c r="L201" s="2"/>
      <c r="M201" s="1"/>
      <c r="N201" s="1"/>
      <c r="O201" s="1"/>
    </row>
    <row x14ac:dyDescent="0.25" r="202" customHeight="1" ht="18.75" hidden="1">
      <c r="A202" s="65" t="s">
        <v>44</v>
      </c>
      <c r="B202" s="147" t="s">
        <v>138</v>
      </c>
      <c r="C202" s="66">
        <v>11983607158</v>
      </c>
      <c r="D202" s="66">
        <v>1</v>
      </c>
      <c r="E202" s="147" t="s">
        <v>171</v>
      </c>
      <c r="F202" s="96">
        <f>VLOOKUP(E202,CONFIGURAÇÃO!E:F,2,0)</f>
      </c>
      <c r="G202" s="147" t="s">
        <v>13</v>
      </c>
      <c r="H202" s="96">
        <f>IF(G202="CORTESIA",0,D202*F202)</f>
      </c>
      <c r="I202" s="147" t="s">
        <v>22</v>
      </c>
      <c r="J202" s="147" t="s">
        <v>74</v>
      </c>
      <c r="K202" s="147"/>
      <c r="L202" s="2"/>
      <c r="M202" s="1"/>
      <c r="N202" s="1"/>
      <c r="O202" s="1"/>
    </row>
    <row x14ac:dyDescent="0.25" r="203" customHeight="1" ht="18.75" hidden="1">
      <c r="A203" s="65" t="s">
        <v>44</v>
      </c>
      <c r="B203" s="147" t="s">
        <v>71</v>
      </c>
      <c r="C203" s="66">
        <v>11914183024</v>
      </c>
      <c r="D203" s="66">
        <v>1</v>
      </c>
      <c r="E203" s="147" t="s">
        <v>171</v>
      </c>
      <c r="F203" s="96">
        <f>VLOOKUP(E203,CONFIGURAÇÃO!E:F,2,0)</f>
      </c>
      <c r="G203" s="147" t="s">
        <v>13</v>
      </c>
      <c r="H203" s="96">
        <f>IF(G203="CORTESIA",0,D203*F203)</f>
      </c>
      <c r="I203" s="147" t="s">
        <v>22</v>
      </c>
      <c r="J203" s="147" t="s">
        <v>74</v>
      </c>
      <c r="K203" s="147"/>
      <c r="L203" s="2"/>
      <c r="M203" s="1"/>
      <c r="N203" s="1"/>
      <c r="O203" s="1"/>
    </row>
    <row x14ac:dyDescent="0.25" r="204" customHeight="1" ht="18.75" hidden="1">
      <c r="A204" s="65" t="s">
        <v>44</v>
      </c>
      <c r="B204" s="147" t="s">
        <v>101</v>
      </c>
      <c r="C204" s="66">
        <v>11914529088</v>
      </c>
      <c r="D204" s="66">
        <v>1</v>
      </c>
      <c r="E204" s="147" t="s">
        <v>78</v>
      </c>
      <c r="F204" s="96">
        <f>VLOOKUP(E204,CONFIGURAÇÃO!E:F,2,0)</f>
      </c>
      <c r="G204" s="147" t="s">
        <v>13</v>
      </c>
      <c r="H204" s="96">
        <f>IF(G204="CORTESIA",0,D204*F204)</f>
      </c>
      <c r="I204" s="147" t="s">
        <v>22</v>
      </c>
      <c r="J204" s="147" t="s">
        <v>74</v>
      </c>
      <c r="K204" s="147"/>
      <c r="L204" s="2"/>
      <c r="M204" s="1"/>
      <c r="N204" s="1"/>
      <c r="O204" s="1"/>
    </row>
    <row x14ac:dyDescent="0.25" r="205" customHeight="1" ht="18.75" hidden="1">
      <c r="A205" s="65" t="s">
        <v>44</v>
      </c>
      <c r="B205" s="147" t="s">
        <v>432</v>
      </c>
      <c r="C205" s="66">
        <v>11959434978</v>
      </c>
      <c r="D205" s="66">
        <v>1</v>
      </c>
      <c r="E205" s="147" t="s">
        <v>171</v>
      </c>
      <c r="F205" s="96">
        <f>VLOOKUP(E205,CONFIGURAÇÃO!E:F,2,0)</f>
      </c>
      <c r="G205" s="147" t="s">
        <v>52</v>
      </c>
      <c r="H205" s="96">
        <f>IF(G205="CORTESIA",0,D205*F205)</f>
      </c>
      <c r="I205" s="147" t="s">
        <v>22</v>
      </c>
      <c r="J205" s="147" t="s">
        <v>74</v>
      </c>
      <c r="K205" s="147"/>
      <c r="L205" s="2"/>
      <c r="M205" s="1"/>
      <c r="N205" s="1"/>
      <c r="O205" s="1"/>
    </row>
    <row x14ac:dyDescent="0.25" r="206" customHeight="1" ht="18.75" hidden="1">
      <c r="A206" s="65" t="s">
        <v>44</v>
      </c>
      <c r="B206" s="147" t="s">
        <v>448</v>
      </c>
      <c r="C206" s="66">
        <v>11994514556</v>
      </c>
      <c r="D206" s="66">
        <v>1</v>
      </c>
      <c r="E206" s="147" t="s">
        <v>171</v>
      </c>
      <c r="F206" s="96">
        <f>VLOOKUP(E206,CONFIGURAÇÃO!E:F,2,0)</f>
      </c>
      <c r="G206" s="147" t="s">
        <v>13</v>
      </c>
      <c r="H206" s="96">
        <f>IF(G206="CORTESIA",0,D206*F206)</f>
      </c>
      <c r="I206" s="147" t="s">
        <v>22</v>
      </c>
      <c r="J206" s="147" t="s">
        <v>74</v>
      </c>
      <c r="K206" s="147"/>
      <c r="L206" s="2"/>
      <c r="M206" s="1"/>
      <c r="N206" s="1"/>
      <c r="O206" s="1"/>
    </row>
    <row x14ac:dyDescent="0.25" r="207" customHeight="1" ht="18.75" hidden="1">
      <c r="A207" s="65" t="s">
        <v>44</v>
      </c>
      <c r="B207" s="147" t="s">
        <v>253</v>
      </c>
      <c r="C207" s="66">
        <v>11941754380</v>
      </c>
      <c r="D207" s="66">
        <v>1</v>
      </c>
      <c r="E207" s="147" t="s">
        <v>171</v>
      </c>
      <c r="F207" s="96">
        <f>VLOOKUP(E207,CONFIGURAÇÃO!E:F,2,0)</f>
      </c>
      <c r="G207" s="147" t="s">
        <v>13</v>
      </c>
      <c r="H207" s="96">
        <f>IF(G207="CORTESIA",0,D207*F207)</f>
      </c>
      <c r="I207" s="147" t="s">
        <v>22</v>
      </c>
      <c r="J207" s="147" t="s">
        <v>74</v>
      </c>
      <c r="K207" s="147"/>
      <c r="L207" s="2"/>
      <c r="M207" s="1"/>
      <c r="N207" s="1"/>
      <c r="O207" s="1"/>
    </row>
    <row x14ac:dyDescent="0.25" r="208" customHeight="1" ht="18.75" hidden="1">
      <c r="A208" s="65" t="s">
        <v>44</v>
      </c>
      <c r="B208" s="147" t="s">
        <v>253</v>
      </c>
      <c r="C208" s="66">
        <v>11941754380</v>
      </c>
      <c r="D208" s="66">
        <v>1</v>
      </c>
      <c r="E208" s="147" t="s">
        <v>78</v>
      </c>
      <c r="F208" s="96">
        <f>VLOOKUP(E208,CONFIGURAÇÃO!E:F,2,0)</f>
      </c>
      <c r="G208" s="147" t="s">
        <v>13</v>
      </c>
      <c r="H208" s="96">
        <f>IF(G208="CORTESIA",0,D208*F208)</f>
      </c>
      <c r="I208" s="147" t="s">
        <v>22</v>
      </c>
      <c r="J208" s="147" t="s">
        <v>74</v>
      </c>
      <c r="K208" s="147"/>
      <c r="L208" s="2"/>
      <c r="M208" s="1"/>
      <c r="N208" s="1"/>
      <c r="O208" s="1"/>
    </row>
    <row x14ac:dyDescent="0.25" r="209" customHeight="1" ht="18.75" hidden="1">
      <c r="A209" s="65" t="s">
        <v>44</v>
      </c>
      <c r="B209" s="147" t="s">
        <v>383</v>
      </c>
      <c r="C209" s="66">
        <v>11997856707</v>
      </c>
      <c r="D209" s="66">
        <v>1</v>
      </c>
      <c r="E209" s="147" t="s">
        <v>171</v>
      </c>
      <c r="F209" s="96">
        <f>VLOOKUP(E209,CONFIGURAÇÃO!E:F,2,0)</f>
      </c>
      <c r="G209" s="147" t="s">
        <v>13</v>
      </c>
      <c r="H209" s="96">
        <f>IF(G209="CORTESIA",0,D209*F209)</f>
      </c>
      <c r="I209" s="147" t="s">
        <v>22</v>
      </c>
      <c r="J209" s="147" t="s">
        <v>74</v>
      </c>
      <c r="K209" s="147"/>
      <c r="L209" s="2"/>
      <c r="M209" s="1"/>
      <c r="N209" s="1"/>
      <c r="O209" s="1"/>
    </row>
    <row x14ac:dyDescent="0.25" r="210" customHeight="1" ht="18.75">
      <c r="A210" s="65" t="s">
        <v>44</v>
      </c>
      <c r="B210" s="147" t="s">
        <v>391</v>
      </c>
      <c r="C210" s="66">
        <v>11995677180</v>
      </c>
      <c r="D210" s="66">
        <v>1</v>
      </c>
      <c r="E210" s="147" t="s">
        <v>78</v>
      </c>
      <c r="F210" s="96">
        <f>VLOOKUP(E210,CONFIGURAÇÃO!E:F,2,0)</f>
      </c>
      <c r="G210" s="147" t="s">
        <v>13</v>
      </c>
      <c r="H210" s="96">
        <f>IF(G210="CORTESIA",0,D210*F210)</f>
      </c>
      <c r="I210" s="147" t="s">
        <v>59</v>
      </c>
      <c r="J210" s="147" t="s">
        <v>74</v>
      </c>
      <c r="K210" s="147"/>
      <c r="L210" s="2"/>
      <c r="M210" s="1"/>
      <c r="N210" s="1"/>
      <c r="O210" s="1"/>
    </row>
    <row x14ac:dyDescent="0.25" r="211" customHeight="1" ht="18.75">
      <c r="A211" s="65" t="s">
        <v>44</v>
      </c>
      <c r="B211" s="147" t="s">
        <v>387</v>
      </c>
      <c r="C211" s="66">
        <v>11978520670</v>
      </c>
      <c r="D211" s="66">
        <v>2</v>
      </c>
      <c r="E211" s="147" t="s">
        <v>78</v>
      </c>
      <c r="F211" s="96">
        <f>VLOOKUP(E211,CONFIGURAÇÃO!E:F,2,0)</f>
      </c>
      <c r="G211" s="147" t="s">
        <v>73</v>
      </c>
      <c r="H211" s="96">
        <f>IF(G211="CORTESIA",0,D211*F211)</f>
      </c>
      <c r="I211" s="147" t="s">
        <v>59</v>
      </c>
      <c r="J211" s="147" t="s">
        <v>74</v>
      </c>
      <c r="K211" s="147" t="s">
        <v>388</v>
      </c>
      <c r="L211" s="2"/>
      <c r="M211" s="1"/>
      <c r="N211" s="1"/>
      <c r="O211" s="1"/>
    </row>
    <row x14ac:dyDescent="0.25" r="212" customHeight="1" ht="18.75">
      <c r="A212" s="65" t="s">
        <v>44</v>
      </c>
      <c r="B212" s="147" t="s">
        <v>449</v>
      </c>
      <c r="C212" s="66">
        <v>11952223528</v>
      </c>
      <c r="D212" s="66">
        <v>1</v>
      </c>
      <c r="E212" s="147" t="s">
        <v>171</v>
      </c>
      <c r="F212" s="96">
        <f>VLOOKUP(E212,CONFIGURAÇÃO!E:F,2,0)</f>
      </c>
      <c r="G212" s="147" t="s">
        <v>73</v>
      </c>
      <c r="H212" s="96">
        <f>IF(G212="CORTESIA",0,D212*F212)</f>
      </c>
      <c r="I212" s="147" t="s">
        <v>59</v>
      </c>
      <c r="J212" s="147" t="s">
        <v>74</v>
      </c>
      <c r="K212" s="147" t="s">
        <v>393</v>
      </c>
      <c r="L212" s="2"/>
      <c r="M212" s="1"/>
      <c r="N212" s="1"/>
      <c r="O212" s="1"/>
    </row>
    <row x14ac:dyDescent="0.25" r="213" customHeight="1" ht="18.75">
      <c r="A213" s="65" t="s">
        <v>44</v>
      </c>
      <c r="B213" s="147" t="s">
        <v>243</v>
      </c>
      <c r="C213" s="66">
        <v>11963580048</v>
      </c>
      <c r="D213" s="66">
        <v>4</v>
      </c>
      <c r="E213" s="147" t="s">
        <v>72</v>
      </c>
      <c r="F213" s="96">
        <f>VLOOKUP(E213,CONFIGURAÇÃO!E:F,2,0)</f>
      </c>
      <c r="G213" s="147" t="s">
        <v>13</v>
      </c>
      <c r="H213" s="96">
        <f>IF(G213="CORTESIA",0,D213*F213)</f>
      </c>
      <c r="I213" s="147" t="s">
        <v>59</v>
      </c>
      <c r="J213" s="147" t="s">
        <v>74</v>
      </c>
      <c r="K213" s="147"/>
      <c r="L213" s="2"/>
      <c r="M213" s="1"/>
      <c r="N213" s="1"/>
      <c r="O213" s="1"/>
    </row>
    <row x14ac:dyDescent="0.25" r="214" customHeight="1" ht="18.75">
      <c r="A214" s="65" t="s">
        <v>44</v>
      </c>
      <c r="B214" s="147" t="s">
        <v>387</v>
      </c>
      <c r="C214" s="66">
        <v>11978520670</v>
      </c>
      <c r="D214" s="66">
        <v>1</v>
      </c>
      <c r="E214" s="147" t="s">
        <v>72</v>
      </c>
      <c r="F214" s="96">
        <f>VLOOKUP(E214,CONFIGURAÇÃO!E:F,2,0)</f>
      </c>
      <c r="G214" s="147" t="s">
        <v>73</v>
      </c>
      <c r="H214" s="96">
        <f>IF(G214="CORTESIA",0,D214*F214)</f>
      </c>
      <c r="I214" s="147" t="s">
        <v>59</v>
      </c>
      <c r="J214" s="147" t="s">
        <v>74</v>
      </c>
      <c r="K214" s="147" t="s">
        <v>388</v>
      </c>
      <c r="L214" s="2"/>
      <c r="M214" s="1"/>
      <c r="N214" s="1"/>
      <c r="O214" s="1"/>
    </row>
    <row x14ac:dyDescent="0.25" r="215" customHeight="1" ht="18.75" hidden="1">
      <c r="A215" s="65" t="s">
        <v>45</v>
      </c>
      <c r="B215" s="147" t="s">
        <v>129</v>
      </c>
      <c r="C215" s="66">
        <v>11994748434</v>
      </c>
      <c r="D215" s="66">
        <v>2</v>
      </c>
      <c r="E215" s="147" t="s">
        <v>171</v>
      </c>
      <c r="F215" s="96">
        <f>VLOOKUP(E215,CONFIGURAÇÃO!E:F,2,0)</f>
      </c>
      <c r="G215" s="147" t="s">
        <v>13</v>
      </c>
      <c r="H215" s="96">
        <f>IF(G215="CORTESIA",0,D215*F215)</f>
      </c>
      <c r="I215" s="147" t="s">
        <v>22</v>
      </c>
      <c r="J215" s="147" t="s">
        <v>74</v>
      </c>
      <c r="K215" s="147"/>
      <c r="L215" s="2"/>
      <c r="M215" s="1"/>
      <c r="N215" s="1"/>
      <c r="O215" s="1"/>
    </row>
    <row x14ac:dyDescent="0.25" r="216" customHeight="1" ht="18.75" hidden="1">
      <c r="A216" s="65" t="s">
        <v>45</v>
      </c>
      <c r="B216" s="147" t="s">
        <v>380</v>
      </c>
      <c r="C216" s="66">
        <v>11913468862</v>
      </c>
      <c r="D216" s="66">
        <v>2</v>
      </c>
      <c r="E216" s="147" t="s">
        <v>72</v>
      </c>
      <c r="F216" s="96">
        <f>VLOOKUP(E216,CONFIGURAÇÃO!E:F,2,0)</f>
      </c>
      <c r="G216" s="147" t="s">
        <v>13</v>
      </c>
      <c r="H216" s="96">
        <f>IF(G216="CORTESIA",0,D216*F216)</f>
      </c>
      <c r="I216" s="147" t="s">
        <v>22</v>
      </c>
      <c r="J216" s="147" t="s">
        <v>74</v>
      </c>
      <c r="K216" s="147"/>
      <c r="L216" s="2"/>
      <c r="M216" s="1"/>
      <c r="N216" s="1"/>
      <c r="O216" s="1"/>
    </row>
    <row x14ac:dyDescent="0.25" r="217" customHeight="1" ht="18.75" hidden="1">
      <c r="A217" s="65" t="s">
        <v>45</v>
      </c>
      <c r="B217" s="147" t="s">
        <v>360</v>
      </c>
      <c r="C217" s="66">
        <v>11976769560</v>
      </c>
      <c r="D217" s="66">
        <v>1</v>
      </c>
      <c r="E217" s="147" t="s">
        <v>72</v>
      </c>
      <c r="F217" s="96">
        <f>VLOOKUP(E217,CONFIGURAÇÃO!E:F,2,0)</f>
      </c>
      <c r="G217" s="147" t="s">
        <v>13</v>
      </c>
      <c r="H217" s="96">
        <f>IF(G217="CORTESIA",0,D217*F217)</f>
      </c>
      <c r="I217" s="147" t="s">
        <v>22</v>
      </c>
      <c r="J217" s="147" t="s">
        <v>74</v>
      </c>
      <c r="K217" s="147"/>
      <c r="L217" s="2"/>
      <c r="M217" s="1"/>
      <c r="N217" s="1"/>
      <c r="O217" s="1"/>
    </row>
    <row x14ac:dyDescent="0.25" r="218" customHeight="1" ht="18.75" hidden="1">
      <c r="A218" s="65" t="s">
        <v>45</v>
      </c>
      <c r="B218" s="147" t="s">
        <v>97</v>
      </c>
      <c r="C218" s="66">
        <v>11953207077</v>
      </c>
      <c r="D218" s="66">
        <v>1</v>
      </c>
      <c r="E218" s="147" t="s">
        <v>72</v>
      </c>
      <c r="F218" s="96">
        <f>VLOOKUP(E218,CONFIGURAÇÃO!E:F,2,0)</f>
      </c>
      <c r="G218" s="147" t="s">
        <v>13</v>
      </c>
      <c r="H218" s="96">
        <f>IF(G218="CORTESIA",0,D218*F218)</f>
      </c>
      <c r="I218" s="147" t="s">
        <v>22</v>
      </c>
      <c r="J218" s="147" t="s">
        <v>74</v>
      </c>
      <c r="K218" s="147"/>
      <c r="L218" s="2"/>
      <c r="M218" s="1"/>
      <c r="N218" s="1"/>
      <c r="O218" s="1"/>
    </row>
    <row x14ac:dyDescent="0.25" r="219" customHeight="1" ht="18.75" hidden="1">
      <c r="A219" s="65" t="s">
        <v>45</v>
      </c>
      <c r="B219" s="147" t="s">
        <v>327</v>
      </c>
      <c r="C219" s="66">
        <v>11993843914</v>
      </c>
      <c r="D219" s="66">
        <v>1</v>
      </c>
      <c r="E219" s="147" t="s">
        <v>72</v>
      </c>
      <c r="F219" s="96">
        <f>VLOOKUP(E219,CONFIGURAÇÃO!E:F,2,0)</f>
      </c>
      <c r="G219" s="147" t="s">
        <v>13</v>
      </c>
      <c r="H219" s="96">
        <f>IF(G219="CORTESIA",0,D219*F219)</f>
      </c>
      <c r="I219" s="147" t="s">
        <v>22</v>
      </c>
      <c r="J219" s="147" t="s">
        <v>74</v>
      </c>
      <c r="K219" s="147"/>
      <c r="L219" s="2"/>
      <c r="M219" s="1"/>
      <c r="N219" s="1"/>
      <c r="O219" s="1"/>
    </row>
    <row x14ac:dyDescent="0.25" r="220" customHeight="1" ht="18.75" hidden="1">
      <c r="A220" s="65" t="s">
        <v>45</v>
      </c>
      <c r="B220" s="147" t="s">
        <v>101</v>
      </c>
      <c r="C220" s="66">
        <v>11914529088</v>
      </c>
      <c r="D220" s="66">
        <v>1</v>
      </c>
      <c r="E220" s="147" t="s">
        <v>171</v>
      </c>
      <c r="F220" s="96">
        <f>VLOOKUP(E220,CONFIGURAÇÃO!E:F,2,0)</f>
      </c>
      <c r="G220" s="147" t="s">
        <v>13</v>
      </c>
      <c r="H220" s="96">
        <f>IF(G220="CORTESIA",0,D220*F220)</f>
      </c>
      <c r="I220" s="147" t="s">
        <v>22</v>
      </c>
      <c r="J220" s="147" t="s">
        <v>74</v>
      </c>
      <c r="K220" s="147"/>
      <c r="L220" s="2"/>
      <c r="M220" s="1"/>
      <c r="N220" s="1"/>
      <c r="O220" s="1"/>
    </row>
    <row x14ac:dyDescent="0.25" r="221" customHeight="1" ht="18.75" hidden="1">
      <c r="A221" s="65" t="s">
        <v>45</v>
      </c>
      <c r="B221" s="147" t="s">
        <v>382</v>
      </c>
      <c r="C221" s="66">
        <v>11914797854</v>
      </c>
      <c r="D221" s="66">
        <v>2</v>
      </c>
      <c r="E221" s="147" t="s">
        <v>433</v>
      </c>
      <c r="F221" s="96">
        <f>VLOOKUP(E221,CONFIGURAÇÃO!E:F,2,0)</f>
      </c>
      <c r="G221" s="147" t="s">
        <v>13</v>
      </c>
      <c r="H221" s="96">
        <f>IF(G221="CORTESIA",0,D221*F221)</f>
      </c>
      <c r="I221" s="147" t="s">
        <v>22</v>
      </c>
      <c r="J221" s="147" t="s">
        <v>74</v>
      </c>
      <c r="K221" s="147"/>
      <c r="L221" s="2"/>
      <c r="M221" s="1"/>
      <c r="N221" s="1"/>
      <c r="O221" s="1"/>
    </row>
    <row x14ac:dyDescent="0.25" r="222" customHeight="1" ht="18.75" hidden="1">
      <c r="A222" s="65" t="s">
        <v>45</v>
      </c>
      <c r="B222" s="147" t="s">
        <v>127</v>
      </c>
      <c r="C222" s="66">
        <v>11974067428</v>
      </c>
      <c r="D222" s="66">
        <v>2</v>
      </c>
      <c r="E222" s="147" t="s">
        <v>450</v>
      </c>
      <c r="F222" s="96">
        <f>VLOOKUP(E222,CONFIGURAÇÃO!E:F,2,0)</f>
      </c>
      <c r="G222" s="147" t="s">
        <v>13</v>
      </c>
      <c r="H222" s="96">
        <f>IF(G222="CORTESIA",0,D222*F222)</f>
      </c>
      <c r="I222" s="147" t="s">
        <v>22</v>
      </c>
      <c r="J222" s="147" t="s">
        <v>74</v>
      </c>
      <c r="K222" s="147"/>
      <c r="L222" s="2"/>
      <c r="M222" s="1"/>
      <c r="N222" s="1"/>
      <c r="O222" s="1"/>
    </row>
    <row x14ac:dyDescent="0.25" r="223" customHeight="1" ht="18.75" hidden="1">
      <c r="A223" s="65" t="s">
        <v>45</v>
      </c>
      <c r="B223" s="147" t="s">
        <v>384</v>
      </c>
      <c r="C223" s="66">
        <v>11982757475</v>
      </c>
      <c r="D223" s="66">
        <v>1</v>
      </c>
      <c r="E223" s="147" t="s">
        <v>171</v>
      </c>
      <c r="F223" s="96">
        <f>VLOOKUP(E223,CONFIGURAÇÃO!E:F,2,0)</f>
      </c>
      <c r="G223" s="147" t="s">
        <v>13</v>
      </c>
      <c r="H223" s="96">
        <f>IF(G223="CORTESIA",0,D223*F223)</f>
      </c>
      <c r="I223" s="147" t="s">
        <v>22</v>
      </c>
      <c r="J223" s="147" t="s">
        <v>74</v>
      </c>
      <c r="K223" s="147"/>
      <c r="L223" s="2"/>
      <c r="M223" s="1"/>
      <c r="N223" s="1"/>
      <c r="O223" s="1"/>
    </row>
    <row x14ac:dyDescent="0.25" r="224" customHeight="1" ht="18.75" hidden="1">
      <c r="A224" s="65" t="s">
        <v>45</v>
      </c>
      <c r="B224" s="147" t="s">
        <v>369</v>
      </c>
      <c r="C224" s="66">
        <v>11987676186</v>
      </c>
      <c r="D224" s="66">
        <v>1</v>
      </c>
      <c r="E224" s="147" t="s">
        <v>171</v>
      </c>
      <c r="F224" s="96">
        <f>VLOOKUP(E224,CONFIGURAÇÃO!E:F,2,0)</f>
      </c>
      <c r="G224" s="147" t="s">
        <v>13</v>
      </c>
      <c r="H224" s="96">
        <f>IF(G224="CORTESIA",0,D224*F224)</f>
      </c>
      <c r="I224" s="147" t="s">
        <v>22</v>
      </c>
      <c r="J224" s="147" t="s">
        <v>74</v>
      </c>
      <c r="K224" s="147"/>
      <c r="L224" s="2"/>
      <c r="M224" s="1"/>
      <c r="N224" s="1"/>
      <c r="O224" s="1"/>
    </row>
    <row x14ac:dyDescent="0.25" r="225" customHeight="1" ht="18.75">
      <c r="A225" s="65" t="s">
        <v>45</v>
      </c>
      <c r="B225" s="147" t="s">
        <v>451</v>
      </c>
      <c r="C225" s="66">
        <v>11932614609</v>
      </c>
      <c r="D225" s="66">
        <v>1</v>
      </c>
      <c r="E225" s="147" t="s">
        <v>171</v>
      </c>
      <c r="F225" s="96">
        <f>VLOOKUP(E225,CONFIGURAÇÃO!E:F,2,0)</f>
      </c>
      <c r="G225" s="147" t="s">
        <v>73</v>
      </c>
      <c r="H225" s="96">
        <f>IF(G225="CORTESIA",0,D225*F225)</f>
      </c>
      <c r="I225" s="147" t="s">
        <v>59</v>
      </c>
      <c r="J225" s="147" t="s">
        <v>74</v>
      </c>
      <c r="K225" s="147" t="s">
        <v>393</v>
      </c>
      <c r="L225" s="2"/>
      <c r="M225" s="1"/>
      <c r="N225" s="1"/>
      <c r="O225" s="1"/>
    </row>
    <row x14ac:dyDescent="0.25" r="226" customHeight="1" ht="18.75">
      <c r="A226" s="65" t="s">
        <v>45</v>
      </c>
      <c r="B226" s="147" t="s">
        <v>452</v>
      </c>
      <c r="C226" s="66">
        <v>11971688980</v>
      </c>
      <c r="D226" s="66">
        <v>2</v>
      </c>
      <c r="E226" s="147" t="s">
        <v>72</v>
      </c>
      <c r="F226" s="96">
        <f>VLOOKUP(E226,CONFIGURAÇÃO!E:F,2,0)</f>
      </c>
      <c r="G226" s="147" t="s">
        <v>13</v>
      </c>
      <c r="H226" s="96">
        <f>IF(G226="CORTESIA",0,D226*F226)</f>
      </c>
      <c r="I226" s="147" t="s">
        <v>59</v>
      </c>
      <c r="J226" s="147" t="s">
        <v>74</v>
      </c>
      <c r="K226" s="147" t="s">
        <v>393</v>
      </c>
      <c r="L226" s="2"/>
      <c r="M226" s="1"/>
      <c r="N226" s="1"/>
      <c r="O226" s="1"/>
    </row>
    <row x14ac:dyDescent="0.25" r="227" customHeight="1" ht="18.75">
      <c r="A227" s="65" t="s">
        <v>45</v>
      </c>
      <c r="B227" s="147" t="s">
        <v>425</v>
      </c>
      <c r="C227" s="66">
        <v>11915808149</v>
      </c>
      <c r="D227" s="66">
        <v>1</v>
      </c>
      <c r="E227" s="147" t="s">
        <v>72</v>
      </c>
      <c r="F227" s="96">
        <f>VLOOKUP(E227,CONFIGURAÇÃO!E:F,2,0)</f>
      </c>
      <c r="G227" s="147" t="s">
        <v>13</v>
      </c>
      <c r="H227" s="96">
        <f>IF(G227="CORTESIA",0,D227*F227)</f>
      </c>
      <c r="I227" s="147" t="s">
        <v>59</v>
      </c>
      <c r="J227" s="147" t="s">
        <v>74</v>
      </c>
      <c r="K227" s="147" t="s">
        <v>385</v>
      </c>
      <c r="L227" s="2"/>
      <c r="M227" s="1"/>
      <c r="N227" s="1"/>
      <c r="O227" s="1"/>
    </row>
    <row x14ac:dyDescent="0.25" r="228" customHeight="1" ht="18.75">
      <c r="A228" s="65" t="s">
        <v>45</v>
      </c>
      <c r="B228" s="147" t="s">
        <v>368</v>
      </c>
      <c r="C228" s="66">
        <v>11934345107</v>
      </c>
      <c r="D228" s="66">
        <v>1</v>
      </c>
      <c r="E228" s="147" t="s">
        <v>72</v>
      </c>
      <c r="F228" s="96">
        <f>VLOOKUP(E228,CONFIGURAÇÃO!E:F,2,0)</f>
      </c>
      <c r="G228" s="147" t="s">
        <v>13</v>
      </c>
      <c r="H228" s="96">
        <f>IF(G228="CORTESIA",0,D228*F228)</f>
      </c>
      <c r="I228" s="147" t="s">
        <v>59</v>
      </c>
      <c r="J228" s="147" t="s">
        <v>74</v>
      </c>
      <c r="K228" s="147"/>
      <c r="L228" s="2"/>
      <c r="M228" s="1"/>
      <c r="N228" s="1"/>
      <c r="O228" s="1"/>
    </row>
    <row x14ac:dyDescent="0.25" r="229" customHeight="1" ht="18.75" hidden="1">
      <c r="A229" s="65" t="s">
        <v>46</v>
      </c>
      <c r="B229" s="147" t="s">
        <v>360</v>
      </c>
      <c r="C229" s="66">
        <v>11976769560</v>
      </c>
      <c r="D229" s="66">
        <v>1</v>
      </c>
      <c r="E229" s="147" t="s">
        <v>78</v>
      </c>
      <c r="F229" s="96">
        <f>VLOOKUP(E229,CONFIGURAÇÃO!E:F,2,0)</f>
      </c>
      <c r="G229" s="147" t="s">
        <v>13</v>
      </c>
      <c r="H229" s="96">
        <f>IF(G229="CORTESIA",0,D229*F229)</f>
      </c>
      <c r="I229" s="147" t="s">
        <v>22</v>
      </c>
      <c r="J229" s="147" t="s">
        <v>74</v>
      </c>
      <c r="K229" s="147"/>
      <c r="L229" s="2"/>
      <c r="M229" s="1"/>
      <c r="N229" s="1"/>
      <c r="O229" s="1"/>
    </row>
    <row x14ac:dyDescent="0.25" r="230" customHeight="1" ht="18.75" hidden="1">
      <c r="A230" s="65" t="s">
        <v>46</v>
      </c>
      <c r="B230" s="147" t="s">
        <v>381</v>
      </c>
      <c r="C230" s="66">
        <v>11978048565</v>
      </c>
      <c r="D230" s="66">
        <v>1</v>
      </c>
      <c r="E230" s="147" t="s">
        <v>78</v>
      </c>
      <c r="F230" s="96">
        <f>VLOOKUP(E230,CONFIGURAÇÃO!E:F,2,0)</f>
      </c>
      <c r="G230" s="147" t="s">
        <v>13</v>
      </c>
      <c r="H230" s="96">
        <f>IF(G230="CORTESIA",0,D230*F230)</f>
      </c>
      <c r="I230" s="147" t="s">
        <v>22</v>
      </c>
      <c r="J230" s="147" t="s">
        <v>74</v>
      </c>
      <c r="K230" s="147"/>
      <c r="L230" s="2"/>
      <c r="M230" s="1"/>
      <c r="N230" s="1"/>
      <c r="O230" s="1"/>
    </row>
    <row x14ac:dyDescent="0.25" r="231" customHeight="1" ht="18.75" hidden="1">
      <c r="A231" s="65" t="s">
        <v>46</v>
      </c>
      <c r="B231" s="147" t="s">
        <v>369</v>
      </c>
      <c r="C231" s="66">
        <v>11987676186</v>
      </c>
      <c r="D231" s="66">
        <v>1</v>
      </c>
      <c r="E231" s="147" t="s">
        <v>78</v>
      </c>
      <c r="F231" s="96">
        <f>VLOOKUP(E231,CONFIGURAÇÃO!E:F,2,0)</f>
      </c>
      <c r="G231" s="147" t="s">
        <v>13</v>
      </c>
      <c r="H231" s="96">
        <f>IF(G231="CORTESIA",0,D231*F231)</f>
      </c>
      <c r="I231" s="147" t="s">
        <v>22</v>
      </c>
      <c r="J231" s="147" t="s">
        <v>74</v>
      </c>
      <c r="K231" s="147"/>
      <c r="L231" s="2"/>
      <c r="M231" s="1"/>
      <c r="N231" s="1"/>
      <c r="O231" s="1"/>
    </row>
    <row x14ac:dyDescent="0.25" r="232" customHeight="1" ht="18.75" hidden="1">
      <c r="A232" s="65" t="s">
        <v>46</v>
      </c>
      <c r="B232" s="147" t="s">
        <v>384</v>
      </c>
      <c r="C232" s="66">
        <v>11982757475</v>
      </c>
      <c r="D232" s="66">
        <v>1</v>
      </c>
      <c r="E232" s="147" t="s">
        <v>78</v>
      </c>
      <c r="F232" s="96">
        <f>VLOOKUP(E232,CONFIGURAÇÃO!E:F,2,0)</f>
      </c>
      <c r="G232" s="147" t="s">
        <v>13</v>
      </c>
      <c r="H232" s="96">
        <f>IF(G232="CORTESIA",0,D232*F232)</f>
      </c>
      <c r="I232" s="147" t="s">
        <v>22</v>
      </c>
      <c r="J232" s="147" t="s">
        <v>74</v>
      </c>
      <c r="K232" s="147"/>
      <c r="L232" s="2"/>
      <c r="M232" s="1"/>
      <c r="N232" s="1"/>
      <c r="O232" s="1"/>
    </row>
    <row x14ac:dyDescent="0.25" r="233" customHeight="1" ht="18.75" hidden="1">
      <c r="A233" s="65" t="s">
        <v>46</v>
      </c>
      <c r="B233" s="147" t="s">
        <v>380</v>
      </c>
      <c r="C233" s="66">
        <v>11913468862</v>
      </c>
      <c r="D233" s="66">
        <v>5</v>
      </c>
      <c r="E233" s="147" t="s">
        <v>72</v>
      </c>
      <c r="F233" s="96">
        <f>VLOOKUP(E233,CONFIGURAÇÃO!E:F,2,0)</f>
      </c>
      <c r="G233" s="147" t="s">
        <v>13</v>
      </c>
      <c r="H233" s="96">
        <f>IF(G233="CORTESIA",0,D233*F233)</f>
      </c>
      <c r="I233" s="147" t="s">
        <v>22</v>
      </c>
      <c r="J233" s="147" t="s">
        <v>74</v>
      </c>
      <c r="K233" s="147"/>
      <c r="L233" s="2"/>
      <c r="M233" s="1"/>
      <c r="N233" s="1"/>
      <c r="O233" s="1"/>
    </row>
    <row x14ac:dyDescent="0.25" r="234" customHeight="1" ht="18.75" hidden="1">
      <c r="A234" s="65" t="s">
        <v>46</v>
      </c>
      <c r="B234" s="147" t="s">
        <v>129</v>
      </c>
      <c r="C234" s="66">
        <v>11994748434</v>
      </c>
      <c r="D234" s="66">
        <v>1</v>
      </c>
      <c r="E234" s="147" t="s">
        <v>72</v>
      </c>
      <c r="F234" s="96">
        <f>VLOOKUP(E234,CONFIGURAÇÃO!E:F,2,0)</f>
      </c>
      <c r="G234" s="147" t="s">
        <v>13</v>
      </c>
      <c r="H234" s="96">
        <f>IF(G234="CORTESIA",0,D234*F234)</f>
      </c>
      <c r="I234" s="147" t="s">
        <v>22</v>
      </c>
      <c r="J234" s="147" t="s">
        <v>74</v>
      </c>
      <c r="K234" s="147"/>
      <c r="L234" s="2"/>
      <c r="M234" s="1"/>
      <c r="N234" s="1"/>
      <c r="O234" s="1"/>
    </row>
    <row x14ac:dyDescent="0.25" r="235" customHeight="1" ht="18.75" hidden="1">
      <c r="A235" s="65" t="s">
        <v>46</v>
      </c>
      <c r="B235" s="147" t="s">
        <v>403</v>
      </c>
      <c r="C235" s="66">
        <v>11963046707</v>
      </c>
      <c r="D235" s="66">
        <v>1</v>
      </c>
      <c r="E235" s="147" t="s">
        <v>72</v>
      </c>
      <c r="F235" s="96">
        <f>VLOOKUP(E235,CONFIGURAÇÃO!E:F,2,0)</f>
      </c>
      <c r="G235" s="147" t="s">
        <v>13</v>
      </c>
      <c r="H235" s="96">
        <f>IF(G235="CORTESIA",0,D235*F235)</f>
      </c>
      <c r="I235" s="147" t="s">
        <v>22</v>
      </c>
      <c r="J235" s="147" t="s">
        <v>74</v>
      </c>
      <c r="K235" s="147"/>
      <c r="L235" s="2"/>
      <c r="M235" s="1"/>
      <c r="N235" s="1"/>
      <c r="O235" s="1"/>
    </row>
    <row x14ac:dyDescent="0.25" r="236" customHeight="1" ht="18.75" hidden="1">
      <c r="A236" s="65" t="s">
        <v>46</v>
      </c>
      <c r="B236" s="147" t="s">
        <v>382</v>
      </c>
      <c r="C236" s="66">
        <v>11914797854</v>
      </c>
      <c r="D236" s="66">
        <v>1</v>
      </c>
      <c r="E236" s="147" t="s">
        <v>72</v>
      </c>
      <c r="F236" s="96">
        <f>VLOOKUP(E236,CONFIGURAÇÃO!E:F,2,0)</f>
      </c>
      <c r="G236" s="147" t="s">
        <v>13</v>
      </c>
      <c r="H236" s="96">
        <f>IF(G236="CORTESIA",0,D236*F236)</f>
      </c>
      <c r="I236" s="147" t="s">
        <v>22</v>
      </c>
      <c r="J236" s="147" t="s">
        <v>74</v>
      </c>
      <c r="K236" s="147"/>
      <c r="L236" s="2"/>
      <c r="M236" s="1"/>
      <c r="N236" s="1"/>
      <c r="O236" s="1"/>
    </row>
    <row x14ac:dyDescent="0.25" r="237" customHeight="1" ht="18.75" hidden="1">
      <c r="A237" s="65" t="s">
        <v>46</v>
      </c>
      <c r="B237" s="147" t="s">
        <v>75</v>
      </c>
      <c r="C237" s="66">
        <v>11956078403</v>
      </c>
      <c r="D237" s="66">
        <v>1</v>
      </c>
      <c r="E237" s="147" t="s">
        <v>72</v>
      </c>
      <c r="F237" s="96">
        <f>VLOOKUP(E237,CONFIGURAÇÃO!E:F,2,0)</f>
      </c>
      <c r="G237" s="147" t="s">
        <v>13</v>
      </c>
      <c r="H237" s="96">
        <f>IF(G237="CORTESIA",0,D237*F237)</f>
      </c>
      <c r="I237" s="147" t="s">
        <v>22</v>
      </c>
      <c r="J237" s="147" t="s">
        <v>74</v>
      </c>
      <c r="K237" s="147"/>
      <c r="L237" s="2"/>
      <c r="M237" s="1"/>
      <c r="N237" s="1"/>
      <c r="O237" s="1"/>
    </row>
    <row x14ac:dyDescent="0.25" r="238" customHeight="1" ht="18.75" hidden="1">
      <c r="A238" s="65" t="s">
        <v>46</v>
      </c>
      <c r="B238" s="147" t="s">
        <v>313</v>
      </c>
      <c r="C238" s="66">
        <v>11963376073</v>
      </c>
      <c r="D238" s="66">
        <v>1</v>
      </c>
      <c r="E238" s="147" t="s">
        <v>72</v>
      </c>
      <c r="F238" s="96">
        <f>VLOOKUP(E238,CONFIGURAÇÃO!E:F,2,0)</f>
      </c>
      <c r="G238" s="147" t="s">
        <v>13</v>
      </c>
      <c r="H238" s="96">
        <f>IF(G238="CORTESIA",0,D238*F238)</f>
      </c>
      <c r="I238" s="147" t="s">
        <v>22</v>
      </c>
      <c r="J238" s="147" t="s">
        <v>74</v>
      </c>
      <c r="K238" s="147"/>
      <c r="L238" s="2"/>
      <c r="M238" s="1"/>
      <c r="N238" s="1"/>
      <c r="O238" s="1"/>
    </row>
    <row x14ac:dyDescent="0.25" r="239" customHeight="1" ht="18.75">
      <c r="A239" s="65" t="s">
        <v>46</v>
      </c>
      <c r="B239" s="147" t="s">
        <v>440</v>
      </c>
      <c r="C239" s="66">
        <v>11994953526</v>
      </c>
      <c r="D239" s="66">
        <v>1</v>
      </c>
      <c r="E239" s="147" t="s">
        <v>72</v>
      </c>
      <c r="F239" s="96">
        <f>VLOOKUP(E239,CONFIGURAÇÃO!E:F,2,0)</f>
      </c>
      <c r="G239" s="147" t="s">
        <v>13</v>
      </c>
      <c r="H239" s="96">
        <f>IF(G239="CORTESIA",0,D239*F239)</f>
      </c>
      <c r="I239" s="147" t="s">
        <v>59</v>
      </c>
      <c r="J239" s="147" t="s">
        <v>74</v>
      </c>
      <c r="K239" s="147"/>
      <c r="L239" s="2"/>
      <c r="M239" s="1"/>
      <c r="N239" s="1"/>
      <c r="O239" s="1"/>
    </row>
    <row x14ac:dyDescent="0.25" r="240" customHeight="1" ht="18.75">
      <c r="A240" s="65" t="s">
        <v>46</v>
      </c>
      <c r="B240" s="147" t="s">
        <v>442</v>
      </c>
      <c r="C240" s="66">
        <v>11943267785</v>
      </c>
      <c r="D240" s="66">
        <v>1</v>
      </c>
      <c r="E240" s="147" t="s">
        <v>72</v>
      </c>
      <c r="F240" s="96">
        <f>VLOOKUP(E240,CONFIGURAÇÃO!E:F,2,0)</f>
      </c>
      <c r="G240" s="147" t="s">
        <v>13</v>
      </c>
      <c r="H240" s="96">
        <f>IF(G240="CORTESIA",0,D240*F240)</f>
      </c>
      <c r="I240" s="147" t="s">
        <v>59</v>
      </c>
      <c r="J240" s="147" t="s">
        <v>74</v>
      </c>
      <c r="K240" s="147"/>
      <c r="L240" s="2"/>
      <c r="M240" s="1"/>
      <c r="N240" s="1"/>
      <c r="O240" s="1"/>
    </row>
    <row x14ac:dyDescent="0.25" r="241" customHeight="1" ht="18.75">
      <c r="A241" s="65" t="s">
        <v>46</v>
      </c>
      <c r="B241" s="147" t="s">
        <v>446</v>
      </c>
      <c r="C241" s="66">
        <v>11916519986</v>
      </c>
      <c r="D241" s="66">
        <v>1</v>
      </c>
      <c r="E241" s="147" t="s">
        <v>72</v>
      </c>
      <c r="F241" s="96">
        <f>VLOOKUP(E241,CONFIGURAÇÃO!E:F,2,0)</f>
      </c>
      <c r="G241" s="147" t="s">
        <v>13</v>
      </c>
      <c r="H241" s="96">
        <f>IF(G241="CORTESIA",0,D241*F241)</f>
      </c>
      <c r="I241" s="147" t="s">
        <v>59</v>
      </c>
      <c r="J241" s="147" t="s">
        <v>74</v>
      </c>
      <c r="K241" s="147"/>
      <c r="L241" s="2"/>
      <c r="M241" s="1"/>
      <c r="N241" s="1"/>
      <c r="O241" s="1"/>
    </row>
    <row x14ac:dyDescent="0.25" r="242" customHeight="1" ht="18.75" hidden="1">
      <c r="A242" s="65">
        <v>45695</v>
      </c>
      <c r="B242" s="147" t="s">
        <v>453</v>
      </c>
      <c r="C242" s="66">
        <v>11997902808</v>
      </c>
      <c r="D242" s="66">
        <v>2</v>
      </c>
      <c r="E242" s="147" t="s">
        <v>78</v>
      </c>
      <c r="F242" s="96">
        <f>VLOOKUP(E242,CONFIGURAÇÃO!E:F,2,0)</f>
      </c>
      <c r="G242" s="147" t="s">
        <v>73</v>
      </c>
      <c r="H242" s="96">
        <f>IF(G242="CORTESIA",0,D242*F242)</f>
      </c>
      <c r="I242" s="147" t="s">
        <v>50</v>
      </c>
      <c r="J242" s="147" t="s">
        <v>74</v>
      </c>
      <c r="K242" s="147" t="s">
        <v>454</v>
      </c>
      <c r="L242" s="2"/>
      <c r="M242" s="1"/>
      <c r="N242" s="1"/>
      <c r="O242" s="1"/>
    </row>
    <row x14ac:dyDescent="0.25" r="243" customHeight="1" ht="18.75" hidden="1">
      <c r="A243" s="65">
        <v>45695</v>
      </c>
      <c r="B243" s="147" t="s">
        <v>453</v>
      </c>
      <c r="C243" s="66">
        <v>11997902808</v>
      </c>
      <c r="D243" s="66">
        <v>1</v>
      </c>
      <c r="E243" s="147" t="s">
        <v>171</v>
      </c>
      <c r="F243" s="96">
        <f>VLOOKUP(E243,CONFIGURAÇÃO!E:F,2,0)</f>
      </c>
      <c r="G243" s="147" t="s">
        <v>73</v>
      </c>
      <c r="H243" s="96">
        <f>IF(G243="CORTESIA",0,D243*F243)</f>
      </c>
      <c r="I243" s="147" t="s">
        <v>50</v>
      </c>
      <c r="J243" s="147" t="s">
        <v>74</v>
      </c>
      <c r="K243" s="147" t="s">
        <v>454</v>
      </c>
      <c r="L243" s="2"/>
      <c r="M243" s="1"/>
      <c r="N243" s="1"/>
      <c r="O243" s="1"/>
    </row>
    <row x14ac:dyDescent="0.25" r="244" customHeight="1" ht="18.75" hidden="1">
      <c r="A244" s="65">
        <v>45695</v>
      </c>
      <c r="B244" s="153" t="s">
        <v>455</v>
      </c>
      <c r="C244" s="66">
        <v>11952831796</v>
      </c>
      <c r="D244" s="66">
        <v>2</v>
      </c>
      <c r="E244" s="147" t="s">
        <v>78</v>
      </c>
      <c r="F244" s="96">
        <f>VLOOKUP(E244,CONFIGURAÇÃO!E:F,2,0)</f>
      </c>
      <c r="G244" s="147" t="s">
        <v>13</v>
      </c>
      <c r="H244" s="96">
        <f>IF(G244="CORTESIA",0,D244*F244)</f>
      </c>
      <c r="I244" s="147" t="s">
        <v>50</v>
      </c>
      <c r="J244" s="147" t="s">
        <v>74</v>
      </c>
      <c r="K244" s="147"/>
      <c r="L244" s="2"/>
      <c r="M244" s="1"/>
      <c r="N244" s="1"/>
      <c r="O244" s="1"/>
    </row>
    <row x14ac:dyDescent="0.25" r="245" customHeight="1" ht="18.75" hidden="1">
      <c r="A245" s="65">
        <v>45695</v>
      </c>
      <c r="B245" s="153" t="s">
        <v>386</v>
      </c>
      <c r="C245" s="66">
        <v>11999065685</v>
      </c>
      <c r="D245" s="66">
        <v>1</v>
      </c>
      <c r="E245" s="147" t="s">
        <v>171</v>
      </c>
      <c r="F245" s="96">
        <f>VLOOKUP(E245,CONFIGURAÇÃO!E:F,2,0)</f>
      </c>
      <c r="G245" s="147" t="s">
        <v>13</v>
      </c>
      <c r="H245" s="96">
        <f>IF(G245="CORTESIA",0,D245*F245)</f>
      </c>
      <c r="I245" s="147" t="s">
        <v>50</v>
      </c>
      <c r="J245" s="147" t="s">
        <v>74</v>
      </c>
      <c r="K245" s="147"/>
      <c r="L245" s="2"/>
      <c r="M245" s="1"/>
      <c r="N245" s="1"/>
      <c r="O245" s="1"/>
    </row>
    <row x14ac:dyDescent="0.25" r="246" customHeight="1" ht="18.75" hidden="1">
      <c r="A246" s="65">
        <v>45695</v>
      </c>
      <c r="B246" s="153" t="s">
        <v>386</v>
      </c>
      <c r="C246" s="66">
        <v>11999065685</v>
      </c>
      <c r="D246" s="66">
        <v>1</v>
      </c>
      <c r="E246" s="147" t="s">
        <v>78</v>
      </c>
      <c r="F246" s="96">
        <f>VLOOKUP(E246,CONFIGURAÇÃO!E:F,2,0)</f>
      </c>
      <c r="G246" s="147" t="s">
        <v>13</v>
      </c>
      <c r="H246" s="96">
        <f>IF(G246="CORTESIA",0,D246*F246)</f>
      </c>
      <c r="I246" s="147" t="s">
        <v>50</v>
      </c>
      <c r="J246" s="147" t="s">
        <v>74</v>
      </c>
      <c r="K246" s="147" t="s">
        <v>456</v>
      </c>
      <c r="L246" s="2"/>
      <c r="M246" s="1"/>
      <c r="N246" s="1"/>
      <c r="O246" s="1"/>
    </row>
    <row x14ac:dyDescent="0.25" r="247" customHeight="1" ht="18.75" hidden="1">
      <c r="A247" s="65">
        <v>45695</v>
      </c>
      <c r="B247" s="153" t="s">
        <v>457</v>
      </c>
      <c r="C247" s="66">
        <v>11978361766</v>
      </c>
      <c r="D247" s="66">
        <v>2</v>
      </c>
      <c r="E247" s="147" t="s">
        <v>78</v>
      </c>
      <c r="F247" s="96">
        <f>VLOOKUP(E247,CONFIGURAÇÃO!E:F,2,0)</f>
      </c>
      <c r="G247" s="147" t="s">
        <v>13</v>
      </c>
      <c r="H247" s="96">
        <f>IF(G247="CORTESIA",0,D247*F247)</f>
      </c>
      <c r="I247" s="147" t="s">
        <v>50</v>
      </c>
      <c r="J247" s="147" t="s">
        <v>74</v>
      </c>
      <c r="K247" s="147"/>
      <c r="L247" s="2"/>
      <c r="M247" s="1"/>
      <c r="N247" s="1"/>
      <c r="O247" s="1"/>
    </row>
    <row x14ac:dyDescent="0.25" r="248" customHeight="1" ht="18.75" hidden="1">
      <c r="A248" s="65">
        <v>45695</v>
      </c>
      <c r="B248" s="153" t="s">
        <v>229</v>
      </c>
      <c r="C248" s="66">
        <v>11942802534</v>
      </c>
      <c r="D248" s="66">
        <v>3</v>
      </c>
      <c r="E248" s="147" t="s">
        <v>78</v>
      </c>
      <c r="F248" s="96">
        <f>VLOOKUP(E248,CONFIGURAÇÃO!E:F,2,0)</f>
      </c>
      <c r="G248" s="147" t="s">
        <v>13</v>
      </c>
      <c r="H248" s="96">
        <f>IF(G248="CORTESIA",0,D248*F248)</f>
      </c>
      <c r="I248" s="147" t="s">
        <v>50</v>
      </c>
      <c r="J248" s="147" t="s">
        <v>74</v>
      </c>
      <c r="K248" s="147"/>
      <c r="L248" s="2"/>
      <c r="M248" s="1"/>
      <c r="N248" s="1"/>
      <c r="O248" s="1"/>
    </row>
    <row x14ac:dyDescent="0.25" r="249" customHeight="1" ht="18.75" hidden="1">
      <c r="A249" s="65">
        <v>45695</v>
      </c>
      <c r="B249" s="153" t="s">
        <v>458</v>
      </c>
      <c r="C249" s="66">
        <v>11941455639</v>
      </c>
      <c r="D249" s="66">
        <v>2</v>
      </c>
      <c r="E249" s="147" t="s">
        <v>78</v>
      </c>
      <c r="F249" s="96">
        <f>VLOOKUP(E249,CONFIGURAÇÃO!E:F,2,0)</f>
      </c>
      <c r="G249" s="147" t="s">
        <v>13</v>
      </c>
      <c r="H249" s="96">
        <f>IF(G249="CORTESIA",0,D249*F249)</f>
      </c>
      <c r="I249" s="147" t="s">
        <v>50</v>
      </c>
      <c r="J249" s="147" t="s">
        <v>74</v>
      </c>
      <c r="K249" s="147"/>
      <c r="L249" s="2"/>
      <c r="M249" s="1"/>
      <c r="N249" s="1"/>
      <c r="O249" s="1"/>
    </row>
    <row x14ac:dyDescent="0.25" r="250" customHeight="1" ht="18.75" hidden="1">
      <c r="A250" s="65">
        <v>45695</v>
      </c>
      <c r="B250" s="153" t="s">
        <v>459</v>
      </c>
      <c r="C250" s="66">
        <v>11945776448</v>
      </c>
      <c r="D250" s="66">
        <v>1</v>
      </c>
      <c r="E250" s="147" t="s">
        <v>78</v>
      </c>
      <c r="F250" s="96">
        <f>VLOOKUP(E250,CONFIGURAÇÃO!E:F,2,0)</f>
      </c>
      <c r="G250" s="147" t="s">
        <v>13</v>
      </c>
      <c r="H250" s="96">
        <f>IF(G250="CORTESIA",0,D250*F250)</f>
      </c>
      <c r="I250" s="147" t="s">
        <v>50</v>
      </c>
      <c r="J250" s="147" t="s">
        <v>74</v>
      </c>
      <c r="K250" s="147"/>
      <c r="L250" s="2"/>
      <c r="M250" s="1"/>
      <c r="N250" s="1"/>
      <c r="O250" s="1"/>
    </row>
    <row x14ac:dyDescent="0.25" r="251" customHeight="1" ht="18.75" hidden="1">
      <c r="A251" s="65">
        <v>45695</v>
      </c>
      <c r="B251" s="153" t="s">
        <v>395</v>
      </c>
      <c r="C251" s="66">
        <v>11981536575</v>
      </c>
      <c r="D251" s="66">
        <v>2</v>
      </c>
      <c r="E251" s="147" t="s">
        <v>78</v>
      </c>
      <c r="F251" s="96">
        <f>VLOOKUP(E251,CONFIGURAÇÃO!E:F,2,0)</f>
      </c>
      <c r="G251" s="147" t="s">
        <v>13</v>
      </c>
      <c r="H251" s="96">
        <f>IF(G251="CORTESIA",0,D251*F251)</f>
      </c>
      <c r="I251" s="147" t="s">
        <v>50</v>
      </c>
      <c r="J251" s="147" t="s">
        <v>74</v>
      </c>
      <c r="K251" s="147"/>
      <c r="L251" s="2"/>
      <c r="M251" s="1"/>
      <c r="N251" s="1"/>
      <c r="O251" s="1"/>
    </row>
    <row x14ac:dyDescent="0.25" r="252" customHeight="1" ht="18.75" hidden="1">
      <c r="A252" s="65">
        <v>45695</v>
      </c>
      <c r="B252" s="153" t="s">
        <v>324</v>
      </c>
      <c r="C252" s="66">
        <v>11972383586</v>
      </c>
      <c r="D252" s="66">
        <v>1</v>
      </c>
      <c r="E252" s="147" t="s">
        <v>78</v>
      </c>
      <c r="F252" s="96">
        <f>VLOOKUP(E252,CONFIGURAÇÃO!E:F,2,0)</f>
      </c>
      <c r="G252" s="147" t="s">
        <v>13</v>
      </c>
      <c r="H252" s="96">
        <f>IF(G252="CORTESIA",0,D252*F252)</f>
      </c>
      <c r="I252" s="147" t="s">
        <v>50</v>
      </c>
      <c r="J252" s="147" t="s">
        <v>74</v>
      </c>
      <c r="K252" s="147" t="s">
        <v>460</v>
      </c>
      <c r="L252" s="2"/>
      <c r="M252" s="1"/>
      <c r="N252" s="1"/>
      <c r="O252" s="1"/>
    </row>
    <row x14ac:dyDescent="0.25" r="253" customHeight="1" ht="18.75" hidden="1">
      <c r="A253" s="65">
        <v>45695</v>
      </c>
      <c r="B253" s="153" t="s">
        <v>424</v>
      </c>
      <c r="C253" s="66">
        <v>11932597821</v>
      </c>
      <c r="D253" s="66">
        <v>1</v>
      </c>
      <c r="E253" s="147" t="s">
        <v>78</v>
      </c>
      <c r="F253" s="96">
        <f>VLOOKUP(E253,CONFIGURAÇÃO!E:F,2,0)</f>
      </c>
      <c r="G253" s="147" t="s">
        <v>73</v>
      </c>
      <c r="H253" s="96">
        <f>IF(G253="CORTESIA",0,D253*F253)</f>
      </c>
      <c r="I253" s="147" t="s">
        <v>50</v>
      </c>
      <c r="J253" s="147" t="s">
        <v>74</v>
      </c>
      <c r="K253" s="147" t="s">
        <v>393</v>
      </c>
      <c r="L253" s="2"/>
      <c r="M253" s="1"/>
      <c r="N253" s="1"/>
      <c r="O253" s="1"/>
    </row>
    <row x14ac:dyDescent="0.25" r="254" customHeight="1" ht="18.75" hidden="1">
      <c r="A254" s="65">
        <v>45695</v>
      </c>
      <c r="B254" s="153" t="s">
        <v>300</v>
      </c>
      <c r="C254" s="66">
        <v>11970263134</v>
      </c>
      <c r="D254" s="66">
        <v>1</v>
      </c>
      <c r="E254" s="147" t="s">
        <v>78</v>
      </c>
      <c r="F254" s="96">
        <f>VLOOKUP(E254,CONFIGURAÇÃO!E:F,2,0)</f>
      </c>
      <c r="G254" s="147" t="s">
        <v>13</v>
      </c>
      <c r="H254" s="96">
        <f>IF(G254="CORTESIA",0,D254*F254)</f>
      </c>
      <c r="I254" s="147" t="s">
        <v>50</v>
      </c>
      <c r="J254" s="147" t="s">
        <v>74</v>
      </c>
      <c r="K254" s="147" t="s">
        <v>460</v>
      </c>
      <c r="L254" s="2"/>
      <c r="M254" s="1"/>
      <c r="N254" s="1"/>
      <c r="O254" s="1"/>
    </row>
    <row x14ac:dyDescent="0.25" r="255" customHeight="1" ht="18.75" hidden="1">
      <c r="A255" s="65">
        <v>45695</v>
      </c>
      <c r="B255" s="153" t="s">
        <v>246</v>
      </c>
      <c r="C255" s="66">
        <v>11947563854</v>
      </c>
      <c r="D255" s="66">
        <v>2</v>
      </c>
      <c r="E255" s="147" t="s">
        <v>171</v>
      </c>
      <c r="F255" s="96">
        <f>VLOOKUP(E255,CONFIGURAÇÃO!E:F,2,0)</f>
      </c>
      <c r="G255" s="147" t="s">
        <v>73</v>
      </c>
      <c r="H255" s="96">
        <f>IF(G255="CORTESIA",0,D255*F255)</f>
      </c>
      <c r="I255" s="147" t="s">
        <v>50</v>
      </c>
      <c r="J255" s="147" t="s">
        <v>74</v>
      </c>
      <c r="K255" s="147"/>
      <c r="L255" s="2"/>
      <c r="M255" s="1"/>
      <c r="N255" s="1"/>
      <c r="O255" s="1"/>
    </row>
    <row x14ac:dyDescent="0.25" r="256" customHeight="1" ht="18.75" hidden="1">
      <c r="A256" s="65">
        <v>45695</v>
      </c>
      <c r="B256" s="147" t="s">
        <v>245</v>
      </c>
      <c r="C256" s="66">
        <v>11975763190</v>
      </c>
      <c r="D256" s="66">
        <v>1</v>
      </c>
      <c r="E256" s="147" t="s">
        <v>171</v>
      </c>
      <c r="F256" s="96">
        <f>VLOOKUP(E256,CONFIGURAÇÃO!E:F,2,0)</f>
      </c>
      <c r="G256" s="147" t="s">
        <v>13</v>
      </c>
      <c r="H256" s="96">
        <f>IF(G256="CORTESIA",0,D256*F256)</f>
      </c>
      <c r="I256" s="147" t="s">
        <v>50</v>
      </c>
      <c r="J256" s="147" t="s">
        <v>74</v>
      </c>
      <c r="K256" s="147"/>
      <c r="L256" s="2"/>
      <c r="M256" s="1"/>
      <c r="N256" s="1"/>
      <c r="O256" s="1"/>
    </row>
    <row x14ac:dyDescent="0.25" r="257" customHeight="1" ht="18.75" hidden="1">
      <c r="A257" s="65" t="s">
        <v>44</v>
      </c>
      <c r="B257" s="147" t="s">
        <v>461</v>
      </c>
      <c r="C257" s="66">
        <v>11947131975</v>
      </c>
      <c r="D257" s="66">
        <v>2</v>
      </c>
      <c r="E257" s="147" t="s">
        <v>78</v>
      </c>
      <c r="F257" s="96">
        <f>VLOOKUP(E257,CONFIGURAÇÃO!E:F,2,0)</f>
      </c>
      <c r="G257" s="147" t="s">
        <v>13</v>
      </c>
      <c r="H257" s="96">
        <f>IF(G257="CORTESIA",0,D257*F257)</f>
      </c>
      <c r="I257" s="147" t="s">
        <v>50</v>
      </c>
      <c r="J257" s="147" t="s">
        <v>74</v>
      </c>
      <c r="K257" s="147" t="s">
        <v>456</v>
      </c>
      <c r="L257" s="2"/>
      <c r="M257" s="1"/>
      <c r="N257" s="1"/>
      <c r="O257" s="1"/>
    </row>
    <row x14ac:dyDescent="0.25" r="258" customHeight="1" ht="18.75" hidden="1">
      <c r="A258" s="65" t="s">
        <v>44</v>
      </c>
      <c r="B258" s="147" t="s">
        <v>462</v>
      </c>
      <c r="C258" s="66">
        <v>11939417996</v>
      </c>
      <c r="D258" s="66">
        <v>1</v>
      </c>
      <c r="E258" s="147" t="s">
        <v>78</v>
      </c>
      <c r="F258" s="96">
        <f>VLOOKUP(E258,CONFIGURAÇÃO!E:F,2,0)</f>
      </c>
      <c r="G258" s="147" t="s">
        <v>13</v>
      </c>
      <c r="H258" s="96">
        <f>IF(G258="CORTESIA",0,D258*F258)</f>
      </c>
      <c r="I258" s="147" t="s">
        <v>50</v>
      </c>
      <c r="J258" s="147" t="s">
        <v>74</v>
      </c>
      <c r="K258" s="147" t="s">
        <v>456</v>
      </c>
      <c r="L258" s="2"/>
      <c r="M258" s="1"/>
      <c r="N258" s="1"/>
      <c r="O258" s="1"/>
    </row>
    <row x14ac:dyDescent="0.25" r="259" customHeight="1" ht="18.75" hidden="1">
      <c r="A259" s="65" t="s">
        <v>44</v>
      </c>
      <c r="B259" s="147" t="s">
        <v>324</v>
      </c>
      <c r="C259" s="66">
        <v>11972383586</v>
      </c>
      <c r="D259" s="66">
        <v>1</v>
      </c>
      <c r="E259" s="147" t="s">
        <v>78</v>
      </c>
      <c r="F259" s="96">
        <f>VLOOKUP(E259,CONFIGURAÇÃO!E:F,2,0)</f>
      </c>
      <c r="G259" s="147" t="s">
        <v>13</v>
      </c>
      <c r="H259" s="96">
        <f>IF(G259="CORTESIA",0,D259*F259)</f>
      </c>
      <c r="I259" s="147" t="s">
        <v>50</v>
      </c>
      <c r="J259" s="147" t="s">
        <v>74</v>
      </c>
      <c r="K259" s="147" t="s">
        <v>84</v>
      </c>
      <c r="L259" s="2"/>
      <c r="M259" s="1"/>
      <c r="N259" s="1"/>
      <c r="O259" s="1"/>
    </row>
    <row x14ac:dyDescent="0.25" r="260" customHeight="1" ht="18.75" hidden="1">
      <c r="A260" s="65" t="s">
        <v>44</v>
      </c>
      <c r="B260" s="147" t="s">
        <v>463</v>
      </c>
      <c r="C260" s="66">
        <v>11911771198</v>
      </c>
      <c r="D260" s="66">
        <v>1</v>
      </c>
      <c r="E260" s="147" t="s">
        <v>78</v>
      </c>
      <c r="F260" s="96">
        <f>VLOOKUP(E260,CONFIGURAÇÃO!E:F,2,0)</f>
      </c>
      <c r="G260" s="147" t="s">
        <v>73</v>
      </c>
      <c r="H260" s="96">
        <f>IF(G260="CORTESIA",0,D260*F260)</f>
      </c>
      <c r="I260" s="147" t="s">
        <v>50</v>
      </c>
      <c r="J260" s="147" t="s">
        <v>74</v>
      </c>
      <c r="K260" s="149" t="s">
        <v>464</v>
      </c>
      <c r="L260" s="2"/>
      <c r="M260" s="1"/>
      <c r="N260" s="1"/>
      <c r="O260" s="1"/>
    </row>
    <row x14ac:dyDescent="0.25" r="261" customHeight="1" ht="18.75" hidden="1">
      <c r="A261" s="65" t="s">
        <v>44</v>
      </c>
      <c r="B261" s="147" t="s">
        <v>465</v>
      </c>
      <c r="C261" s="66">
        <v>11961005168</v>
      </c>
      <c r="D261" s="66">
        <v>1</v>
      </c>
      <c r="E261" s="147" t="s">
        <v>171</v>
      </c>
      <c r="F261" s="96">
        <f>VLOOKUP(E261,CONFIGURAÇÃO!E:F,2,0)</f>
      </c>
      <c r="G261" s="147" t="s">
        <v>20</v>
      </c>
      <c r="H261" s="96">
        <f>IF(G261="CORTESIA",0,D261*F261)</f>
      </c>
      <c r="I261" s="147" t="s">
        <v>50</v>
      </c>
      <c r="J261" s="147" t="s">
        <v>74</v>
      </c>
      <c r="K261" s="147" t="s">
        <v>320</v>
      </c>
      <c r="L261" s="2"/>
      <c r="M261" s="1"/>
      <c r="N261" s="1"/>
      <c r="O261" s="1"/>
    </row>
    <row x14ac:dyDescent="0.25" r="262" customHeight="1" ht="18.75" hidden="1">
      <c r="A262" s="65" t="s">
        <v>44</v>
      </c>
      <c r="B262" s="147" t="s">
        <v>420</v>
      </c>
      <c r="C262" s="66">
        <v>11946028455</v>
      </c>
      <c r="D262" s="66">
        <v>1</v>
      </c>
      <c r="E262" s="147" t="s">
        <v>78</v>
      </c>
      <c r="F262" s="96">
        <f>VLOOKUP(E262,CONFIGURAÇÃO!E:F,2,0)</f>
      </c>
      <c r="G262" s="147" t="s">
        <v>73</v>
      </c>
      <c r="H262" s="96">
        <f>IF(G262="CORTESIA",0,D262*F262)</f>
      </c>
      <c r="I262" s="147" t="s">
        <v>50</v>
      </c>
      <c r="J262" s="147" t="s">
        <v>74</v>
      </c>
      <c r="K262" s="147" t="s">
        <v>393</v>
      </c>
      <c r="L262" s="2"/>
      <c r="M262" s="1"/>
      <c r="N262" s="1"/>
      <c r="O262" s="1"/>
    </row>
    <row x14ac:dyDescent="0.25" r="263" customHeight="1" ht="18.75" hidden="1">
      <c r="A263" s="65" t="s">
        <v>44</v>
      </c>
      <c r="B263" s="147" t="s">
        <v>357</v>
      </c>
      <c r="C263" s="66">
        <v>11977760176</v>
      </c>
      <c r="D263" s="66">
        <v>2</v>
      </c>
      <c r="E263" s="147" t="s">
        <v>78</v>
      </c>
      <c r="F263" s="96">
        <f>VLOOKUP(E263,CONFIGURAÇÃO!E:F,2,0)</f>
      </c>
      <c r="G263" s="147" t="s">
        <v>13</v>
      </c>
      <c r="H263" s="96">
        <f>IF(G263="CORTESIA",0,D263*F263)</f>
      </c>
      <c r="I263" s="147" t="s">
        <v>50</v>
      </c>
      <c r="J263" s="147" t="s">
        <v>74</v>
      </c>
      <c r="K263" s="147" t="s">
        <v>466</v>
      </c>
      <c r="L263" s="2"/>
      <c r="M263" s="1"/>
      <c r="N263" s="1"/>
      <c r="O263" s="1"/>
    </row>
    <row x14ac:dyDescent="0.25" r="264" customHeight="1" ht="18.75" hidden="1">
      <c r="A264" s="65" t="s">
        <v>44</v>
      </c>
      <c r="B264" s="147" t="s">
        <v>345</v>
      </c>
      <c r="C264" s="66">
        <v>11986264407</v>
      </c>
      <c r="D264" s="66">
        <v>2</v>
      </c>
      <c r="E264" s="147" t="s">
        <v>171</v>
      </c>
      <c r="F264" s="96">
        <f>VLOOKUP(E264,CONFIGURAÇÃO!E:F,2,0)</f>
      </c>
      <c r="G264" s="147" t="s">
        <v>73</v>
      </c>
      <c r="H264" s="96">
        <f>IF(G264="CORTESIA",0,D264*F264)</f>
      </c>
      <c r="I264" s="147" t="s">
        <v>50</v>
      </c>
      <c r="J264" s="147" t="s">
        <v>74</v>
      </c>
      <c r="K264" s="147" t="s">
        <v>467</v>
      </c>
      <c r="L264" s="2"/>
      <c r="M264" s="1"/>
      <c r="N264" s="1"/>
      <c r="O264" s="1"/>
    </row>
    <row x14ac:dyDescent="0.25" r="265" customHeight="1" ht="18.75" hidden="1">
      <c r="A265" s="65" t="s">
        <v>44</v>
      </c>
      <c r="B265" s="147" t="s">
        <v>345</v>
      </c>
      <c r="C265" s="66">
        <v>11986264407</v>
      </c>
      <c r="D265" s="66">
        <v>1</v>
      </c>
      <c r="E265" s="147" t="s">
        <v>78</v>
      </c>
      <c r="F265" s="96">
        <f>VLOOKUP(E265,CONFIGURAÇÃO!E:F,2,0)</f>
      </c>
      <c r="G265" s="147" t="s">
        <v>73</v>
      </c>
      <c r="H265" s="96">
        <f>IF(G265="CORTESIA",0,D265*F265)</f>
      </c>
      <c r="I265" s="147" t="s">
        <v>50</v>
      </c>
      <c r="J265" s="147" t="s">
        <v>74</v>
      </c>
      <c r="K265" s="147" t="s">
        <v>84</v>
      </c>
      <c r="L265" s="2"/>
      <c r="M265" s="1"/>
      <c r="N265" s="1"/>
      <c r="O265" s="1"/>
    </row>
    <row x14ac:dyDescent="0.25" r="266" customHeight="1" ht="18.75" hidden="1">
      <c r="A266" s="65" t="s">
        <v>44</v>
      </c>
      <c r="B266" s="147" t="s">
        <v>468</v>
      </c>
      <c r="C266" s="66">
        <v>11990199277</v>
      </c>
      <c r="D266" s="66">
        <v>1</v>
      </c>
      <c r="E266" s="147" t="s">
        <v>78</v>
      </c>
      <c r="F266" s="96">
        <f>VLOOKUP(E266,CONFIGURAÇÃO!E:F,2,0)</f>
      </c>
      <c r="G266" s="147" t="s">
        <v>73</v>
      </c>
      <c r="H266" s="96">
        <f>IF(G266="CORTESIA",0,D266*F266)</f>
      </c>
      <c r="I266" s="147" t="s">
        <v>50</v>
      </c>
      <c r="J266" s="147" t="s">
        <v>74</v>
      </c>
      <c r="K266" s="147" t="s">
        <v>469</v>
      </c>
      <c r="L266" s="2"/>
      <c r="M266" s="1"/>
      <c r="N266" s="1"/>
      <c r="O266" s="1"/>
    </row>
    <row x14ac:dyDescent="0.25" r="267" customHeight="1" ht="18.75" hidden="1">
      <c r="A267" s="65" t="s">
        <v>44</v>
      </c>
      <c r="B267" s="147" t="s">
        <v>329</v>
      </c>
      <c r="C267" s="66">
        <v>11991695773</v>
      </c>
      <c r="D267" s="66">
        <v>1</v>
      </c>
      <c r="E267" s="147" t="s">
        <v>78</v>
      </c>
      <c r="F267" s="96">
        <f>VLOOKUP(E267,CONFIGURAÇÃO!E:F,2,0)</f>
      </c>
      <c r="G267" s="147" t="s">
        <v>13</v>
      </c>
      <c r="H267" s="96">
        <f>IF(G267="CORTESIA",0,D267*F267)</f>
      </c>
      <c r="I267" s="147" t="s">
        <v>50</v>
      </c>
      <c r="J267" s="147" t="s">
        <v>74</v>
      </c>
      <c r="K267" s="147" t="s">
        <v>456</v>
      </c>
      <c r="L267" s="2"/>
      <c r="M267" s="1"/>
      <c r="N267" s="1"/>
      <c r="O267" s="1"/>
    </row>
    <row x14ac:dyDescent="0.25" r="268" customHeight="1" ht="18.75" hidden="1">
      <c r="A268" s="65" t="s">
        <v>44</v>
      </c>
      <c r="B268" s="147" t="s">
        <v>218</v>
      </c>
      <c r="C268" s="66">
        <v>11997414630</v>
      </c>
      <c r="D268" s="66">
        <v>1</v>
      </c>
      <c r="E268" s="147" t="s">
        <v>78</v>
      </c>
      <c r="F268" s="96">
        <f>VLOOKUP(E268,CONFIGURAÇÃO!E:F,2,0)</f>
      </c>
      <c r="G268" s="147" t="s">
        <v>13</v>
      </c>
      <c r="H268" s="96">
        <f>IF(G268="CORTESIA",0,D268*F268)</f>
      </c>
      <c r="I268" s="147" t="s">
        <v>50</v>
      </c>
      <c r="J268" s="147" t="s">
        <v>74</v>
      </c>
      <c r="K268" s="147" t="s">
        <v>84</v>
      </c>
      <c r="L268" s="2"/>
      <c r="M268" s="1"/>
      <c r="N268" s="1"/>
      <c r="O268" s="1"/>
    </row>
    <row x14ac:dyDescent="0.25" r="269" customHeight="1" ht="18.75" hidden="1">
      <c r="A269" s="65" t="s">
        <v>44</v>
      </c>
      <c r="B269" s="147" t="s">
        <v>324</v>
      </c>
      <c r="C269" s="66">
        <v>11972383586</v>
      </c>
      <c r="D269" s="66">
        <v>1</v>
      </c>
      <c r="E269" s="147" t="s">
        <v>171</v>
      </c>
      <c r="F269" s="96">
        <f>VLOOKUP(E269,CONFIGURAÇÃO!E:F,2,0)</f>
      </c>
      <c r="G269" s="147" t="s">
        <v>13</v>
      </c>
      <c r="H269" s="96">
        <f>IF(G269="CORTESIA",0,D269*F269)</f>
      </c>
      <c r="I269" s="147" t="s">
        <v>50</v>
      </c>
      <c r="J269" s="147" t="s">
        <v>74</v>
      </c>
      <c r="K269" s="147" t="s">
        <v>320</v>
      </c>
      <c r="L269" s="2"/>
      <c r="M269" s="1"/>
      <c r="N269" s="1"/>
      <c r="O269" s="1"/>
    </row>
    <row x14ac:dyDescent="0.25" r="270" customHeight="1" ht="18.75" hidden="1">
      <c r="A270" s="65" t="s">
        <v>44</v>
      </c>
      <c r="B270" s="147" t="s">
        <v>444</v>
      </c>
      <c r="C270" s="66">
        <v>11917316267</v>
      </c>
      <c r="D270" s="66">
        <v>1</v>
      </c>
      <c r="E270" s="147" t="s">
        <v>171</v>
      </c>
      <c r="F270" s="96">
        <f>VLOOKUP(E270,CONFIGURAÇÃO!E:F,2,0)</f>
      </c>
      <c r="G270" s="147" t="s">
        <v>13</v>
      </c>
      <c r="H270" s="96">
        <f>IF(G270="CORTESIA",0,D270*F270)</f>
      </c>
      <c r="I270" s="147" t="s">
        <v>50</v>
      </c>
      <c r="J270" s="147" t="s">
        <v>74</v>
      </c>
      <c r="K270" s="149" t="s">
        <v>428</v>
      </c>
      <c r="L270" s="2"/>
      <c r="M270" s="1"/>
      <c r="N270" s="1"/>
      <c r="O270" s="1"/>
    </row>
    <row x14ac:dyDescent="0.25" r="271" customHeight="1" ht="18.75" hidden="1">
      <c r="A271" s="65" t="s">
        <v>44</v>
      </c>
      <c r="B271" s="147" t="s">
        <v>470</v>
      </c>
      <c r="C271" s="66">
        <v>11910773358</v>
      </c>
      <c r="D271" s="66">
        <v>1</v>
      </c>
      <c r="E271" s="147" t="s">
        <v>171</v>
      </c>
      <c r="F271" s="96">
        <f>VLOOKUP(E271,CONFIGURAÇÃO!E:F,2,0)</f>
      </c>
      <c r="G271" s="147" t="s">
        <v>13</v>
      </c>
      <c r="H271" s="96">
        <f>IF(G271="CORTESIA",0,D271*F271)</f>
      </c>
      <c r="I271" s="147" t="s">
        <v>50</v>
      </c>
      <c r="J271" s="147" t="s">
        <v>74</v>
      </c>
      <c r="K271" s="147" t="s">
        <v>467</v>
      </c>
      <c r="L271" s="2"/>
      <c r="M271" s="1"/>
      <c r="N271" s="1"/>
      <c r="O271" s="1"/>
    </row>
    <row x14ac:dyDescent="0.25" r="272" customHeight="1" ht="18.75" hidden="1">
      <c r="A272" s="65" t="s">
        <v>44</v>
      </c>
      <c r="B272" s="147" t="s">
        <v>284</v>
      </c>
      <c r="C272" s="66">
        <v>11934895406</v>
      </c>
      <c r="D272" s="66">
        <v>1</v>
      </c>
      <c r="E272" s="147" t="s">
        <v>78</v>
      </c>
      <c r="F272" s="96">
        <f>VLOOKUP(E272,CONFIGURAÇÃO!E:F,2,0)</f>
      </c>
      <c r="G272" s="147" t="s">
        <v>13</v>
      </c>
      <c r="H272" s="96">
        <f>IF(G272="CORTESIA",0,D272*F272)</f>
      </c>
      <c r="I272" s="147" t="s">
        <v>50</v>
      </c>
      <c r="J272" s="147" t="s">
        <v>74</v>
      </c>
      <c r="K272" s="147" t="s">
        <v>84</v>
      </c>
      <c r="L272" s="2"/>
      <c r="M272" s="1"/>
      <c r="N272" s="1"/>
      <c r="O272" s="1"/>
    </row>
    <row x14ac:dyDescent="0.25" r="273" customHeight="1" ht="18.75" hidden="1">
      <c r="A273" s="65">
        <v>45698</v>
      </c>
      <c r="B273" s="147" t="s">
        <v>324</v>
      </c>
      <c r="C273" s="66">
        <v>11972383586</v>
      </c>
      <c r="D273" s="66">
        <v>1</v>
      </c>
      <c r="E273" s="147" t="s">
        <v>78</v>
      </c>
      <c r="F273" s="96">
        <f>VLOOKUP(E273,CONFIGURAÇÃO!E:F,2,0)</f>
      </c>
      <c r="G273" s="147" t="s">
        <v>13</v>
      </c>
      <c r="H273" s="96">
        <f>IF(G273="CORTESIA",0,D273*F273)</f>
      </c>
      <c r="I273" s="147" t="s">
        <v>50</v>
      </c>
      <c r="J273" s="147" t="s">
        <v>74</v>
      </c>
      <c r="K273" s="147"/>
      <c r="L273" s="2"/>
      <c r="M273" s="1"/>
      <c r="N273" s="1"/>
      <c r="O273" s="1"/>
    </row>
    <row x14ac:dyDescent="0.25" r="274" customHeight="1" ht="18.75" hidden="1">
      <c r="A274" s="65">
        <v>45698</v>
      </c>
      <c r="B274" s="147" t="s">
        <v>471</v>
      </c>
      <c r="C274" s="66">
        <v>11919941682</v>
      </c>
      <c r="D274" s="66">
        <v>2</v>
      </c>
      <c r="E274" s="147" t="s">
        <v>78</v>
      </c>
      <c r="F274" s="96">
        <f>VLOOKUP(E274,CONFIGURAÇÃO!E:F,2,0)</f>
      </c>
      <c r="G274" s="147" t="s">
        <v>73</v>
      </c>
      <c r="H274" s="96">
        <f>IF(G274="CORTESIA",0,D274*F274)</f>
      </c>
      <c r="I274" s="147" t="s">
        <v>50</v>
      </c>
      <c r="J274" s="147" t="s">
        <v>74</v>
      </c>
      <c r="K274" s="147"/>
      <c r="L274" s="2"/>
      <c r="M274" s="1"/>
      <c r="N274" s="1"/>
      <c r="O274" s="1"/>
    </row>
    <row x14ac:dyDescent="0.25" r="275" customHeight="1" ht="18.75" hidden="1">
      <c r="A275" s="65">
        <v>45698</v>
      </c>
      <c r="B275" s="147" t="s">
        <v>472</v>
      </c>
      <c r="C275" s="66">
        <v>11966492606</v>
      </c>
      <c r="D275" s="66">
        <v>1</v>
      </c>
      <c r="E275" s="147" t="s">
        <v>78</v>
      </c>
      <c r="F275" s="96">
        <f>VLOOKUP(E275,CONFIGURAÇÃO!E:F,2,0)</f>
      </c>
      <c r="G275" s="147" t="s">
        <v>13</v>
      </c>
      <c r="H275" s="96">
        <f>IF(G275="CORTESIA",0,D275*F275)</f>
      </c>
      <c r="I275" s="147" t="s">
        <v>50</v>
      </c>
      <c r="J275" s="147" t="s">
        <v>74</v>
      </c>
      <c r="K275" s="147"/>
      <c r="L275" s="2"/>
      <c r="M275" s="1"/>
      <c r="N275" s="1"/>
      <c r="O275" s="1"/>
    </row>
    <row x14ac:dyDescent="0.25" r="276" customHeight="1" ht="18.75" hidden="1">
      <c r="A276" s="65">
        <v>45698</v>
      </c>
      <c r="B276" s="147" t="s">
        <v>427</v>
      </c>
      <c r="C276" s="66">
        <v>11987159059</v>
      </c>
      <c r="D276" s="66">
        <v>1</v>
      </c>
      <c r="E276" s="147" t="s">
        <v>78</v>
      </c>
      <c r="F276" s="96">
        <f>VLOOKUP(E276,CONFIGURAÇÃO!E:F,2,0)</f>
      </c>
      <c r="G276" s="147" t="s">
        <v>73</v>
      </c>
      <c r="H276" s="96">
        <f>IF(G276="CORTESIA",0,D276*F276)</f>
      </c>
      <c r="I276" s="147" t="s">
        <v>50</v>
      </c>
      <c r="J276" s="147" t="s">
        <v>74</v>
      </c>
      <c r="K276" s="149" t="s">
        <v>428</v>
      </c>
      <c r="L276" s="2"/>
      <c r="M276" s="1"/>
      <c r="N276" s="1"/>
      <c r="O276" s="1"/>
    </row>
    <row x14ac:dyDescent="0.25" r="277" customHeight="1" ht="18.75" hidden="1">
      <c r="A277" s="65">
        <v>45698</v>
      </c>
      <c r="B277" s="147" t="s">
        <v>217</v>
      </c>
      <c r="C277" s="66">
        <v>11970355431</v>
      </c>
      <c r="D277" s="66">
        <v>1</v>
      </c>
      <c r="E277" s="147" t="s">
        <v>78</v>
      </c>
      <c r="F277" s="96">
        <f>VLOOKUP(E277,CONFIGURAÇÃO!E:F,2,0)</f>
      </c>
      <c r="G277" s="147" t="s">
        <v>73</v>
      </c>
      <c r="H277" s="96">
        <f>IF(G277="CORTESIA",0,D277*F277)</f>
      </c>
      <c r="I277" s="147" t="s">
        <v>50</v>
      </c>
      <c r="J277" s="147" t="s">
        <v>74</v>
      </c>
      <c r="K277" s="147" t="s">
        <v>393</v>
      </c>
      <c r="L277" s="2"/>
      <c r="M277" s="1"/>
      <c r="N277" s="1"/>
      <c r="O277" s="1"/>
    </row>
    <row x14ac:dyDescent="0.25" r="278" customHeight="1" ht="18.75" hidden="1">
      <c r="A278" s="65">
        <v>45698</v>
      </c>
      <c r="B278" s="147" t="s">
        <v>426</v>
      </c>
      <c r="C278" s="66">
        <v>11920071045</v>
      </c>
      <c r="D278" s="66">
        <v>1</v>
      </c>
      <c r="E278" s="147" t="s">
        <v>78</v>
      </c>
      <c r="F278" s="96">
        <f>VLOOKUP(E278,CONFIGURAÇÃO!E:F,2,0)</f>
      </c>
      <c r="G278" s="147" t="s">
        <v>13</v>
      </c>
      <c r="H278" s="96">
        <f>IF(G278="CORTESIA",0,D278*F278)</f>
      </c>
      <c r="I278" s="147" t="s">
        <v>50</v>
      </c>
      <c r="J278" s="147" t="s">
        <v>74</v>
      </c>
      <c r="K278" s="147"/>
      <c r="L278" s="2"/>
      <c r="M278" s="1"/>
      <c r="N278" s="1"/>
      <c r="O278" s="1"/>
    </row>
    <row x14ac:dyDescent="0.25" r="279" customHeight="1" ht="18.75" hidden="1">
      <c r="A279" s="65">
        <v>45698</v>
      </c>
      <c r="B279" s="147" t="s">
        <v>238</v>
      </c>
      <c r="C279" s="66">
        <v>11932534362</v>
      </c>
      <c r="D279" s="66">
        <v>2</v>
      </c>
      <c r="E279" s="147" t="s">
        <v>78</v>
      </c>
      <c r="F279" s="96">
        <f>VLOOKUP(E279,CONFIGURAÇÃO!E:F,2,0)</f>
      </c>
      <c r="G279" s="147" t="s">
        <v>13</v>
      </c>
      <c r="H279" s="96">
        <f>IF(G279="CORTESIA",0,D279*F279)</f>
      </c>
      <c r="I279" s="147" t="s">
        <v>50</v>
      </c>
      <c r="J279" s="147" t="s">
        <v>74</v>
      </c>
      <c r="K279" s="147"/>
      <c r="L279" s="2"/>
      <c r="M279" s="1"/>
      <c r="N279" s="1"/>
      <c r="O279" s="1"/>
    </row>
    <row x14ac:dyDescent="0.25" r="280" customHeight="1" ht="18.75" hidden="1">
      <c r="A280" s="65">
        <v>45698</v>
      </c>
      <c r="B280" s="147" t="s">
        <v>357</v>
      </c>
      <c r="C280" s="66">
        <v>11977760176</v>
      </c>
      <c r="D280" s="66">
        <v>2</v>
      </c>
      <c r="E280" s="147" t="s">
        <v>78</v>
      </c>
      <c r="F280" s="96">
        <f>VLOOKUP(E280,CONFIGURAÇÃO!E:F,2,0)</f>
      </c>
      <c r="G280" s="147" t="s">
        <v>13</v>
      </c>
      <c r="H280" s="96">
        <f>IF(G280="CORTESIA",0,D280*F280)</f>
      </c>
      <c r="I280" s="147" t="s">
        <v>50</v>
      </c>
      <c r="J280" s="147" t="s">
        <v>74</v>
      </c>
      <c r="K280" s="147"/>
      <c r="L280" s="2"/>
      <c r="M280" s="1"/>
      <c r="N280" s="1"/>
      <c r="O280" s="1"/>
    </row>
    <row x14ac:dyDescent="0.25" r="281" customHeight="1" ht="18.75" hidden="1">
      <c r="A281" s="65">
        <v>45698</v>
      </c>
      <c r="B281" s="147" t="s">
        <v>286</v>
      </c>
      <c r="C281" s="66">
        <v>11970316586</v>
      </c>
      <c r="D281" s="66">
        <v>2</v>
      </c>
      <c r="E281" s="147" t="s">
        <v>78</v>
      </c>
      <c r="F281" s="96">
        <f>VLOOKUP(E281,CONFIGURAÇÃO!E:F,2,0)</f>
      </c>
      <c r="G281" s="147" t="s">
        <v>73</v>
      </c>
      <c r="H281" s="96">
        <f>IF(G281="CORTESIA",0,D281*F281)</f>
      </c>
      <c r="I281" s="147" t="s">
        <v>50</v>
      </c>
      <c r="J281" s="147" t="s">
        <v>74</v>
      </c>
      <c r="K281" s="147" t="s">
        <v>393</v>
      </c>
      <c r="L281" s="2"/>
      <c r="M281" s="1"/>
      <c r="N281" s="1"/>
      <c r="O281" s="1"/>
    </row>
    <row x14ac:dyDescent="0.25" r="282" customHeight="1" ht="18.75" hidden="1">
      <c r="A282" s="65">
        <v>45698</v>
      </c>
      <c r="B282" s="147" t="s">
        <v>473</v>
      </c>
      <c r="C282" s="66">
        <v>11910330339</v>
      </c>
      <c r="D282" s="66">
        <v>1</v>
      </c>
      <c r="E282" s="147" t="s">
        <v>78</v>
      </c>
      <c r="F282" s="96">
        <f>VLOOKUP(E282,CONFIGURAÇÃO!E:F,2,0)</f>
      </c>
      <c r="G282" s="147" t="s">
        <v>13</v>
      </c>
      <c r="H282" s="96">
        <f>IF(G282="CORTESIA",0,D282*F282)</f>
      </c>
      <c r="I282" s="147" t="s">
        <v>50</v>
      </c>
      <c r="J282" s="147" t="s">
        <v>74</v>
      </c>
      <c r="K282" s="147"/>
      <c r="L282" s="2"/>
      <c r="M282" s="1"/>
      <c r="N282" s="1"/>
      <c r="O282" s="1"/>
    </row>
    <row x14ac:dyDescent="0.25" r="283" customHeight="1" ht="18.75" hidden="1">
      <c r="A283" s="65">
        <v>45698</v>
      </c>
      <c r="B283" s="147" t="s">
        <v>474</v>
      </c>
      <c r="C283" s="66">
        <v>11971669969</v>
      </c>
      <c r="D283" s="66">
        <v>1</v>
      </c>
      <c r="E283" s="147" t="s">
        <v>78</v>
      </c>
      <c r="F283" s="96">
        <f>VLOOKUP(E283,CONFIGURAÇÃO!E:F,2,0)</f>
      </c>
      <c r="G283" s="147" t="s">
        <v>13</v>
      </c>
      <c r="H283" s="96">
        <f>IF(G283="CORTESIA",0,D283*F283)</f>
      </c>
      <c r="I283" s="147" t="s">
        <v>50</v>
      </c>
      <c r="J283" s="147" t="s">
        <v>74</v>
      </c>
      <c r="K283" s="147"/>
      <c r="L283" s="2"/>
      <c r="M283" s="1"/>
      <c r="N283" s="1"/>
      <c r="O283" s="1"/>
    </row>
    <row x14ac:dyDescent="0.25" r="284" customHeight="1" ht="18.75" hidden="1">
      <c r="A284" s="65">
        <v>45698</v>
      </c>
      <c r="B284" s="147" t="s">
        <v>462</v>
      </c>
      <c r="C284" s="66">
        <v>11939417996</v>
      </c>
      <c r="D284" s="66">
        <v>1</v>
      </c>
      <c r="E284" s="147" t="s">
        <v>78</v>
      </c>
      <c r="F284" s="96">
        <f>VLOOKUP(E284,CONFIGURAÇÃO!E:F,2,0)</f>
      </c>
      <c r="G284" s="147" t="s">
        <v>13</v>
      </c>
      <c r="H284" s="96">
        <f>IF(G284="CORTESIA",0,D284*F284)</f>
      </c>
      <c r="I284" s="147" t="s">
        <v>50</v>
      </c>
      <c r="J284" s="147" t="s">
        <v>74</v>
      </c>
      <c r="K284" s="147"/>
      <c r="L284" s="2"/>
      <c r="M284" s="1"/>
      <c r="N284" s="1"/>
      <c r="O284" s="1"/>
    </row>
    <row x14ac:dyDescent="0.25" r="285" customHeight="1" ht="18.75" hidden="1">
      <c r="A285" s="65">
        <v>45698</v>
      </c>
      <c r="B285" s="147" t="s">
        <v>444</v>
      </c>
      <c r="C285" s="66">
        <v>11917316267</v>
      </c>
      <c r="D285" s="66">
        <v>1</v>
      </c>
      <c r="E285" s="147" t="s">
        <v>78</v>
      </c>
      <c r="F285" s="96">
        <f>VLOOKUP(E285,CONFIGURAÇÃO!E:F,2,0)</f>
      </c>
      <c r="G285" s="147" t="s">
        <v>13</v>
      </c>
      <c r="H285" s="96">
        <f>IF(G285="CORTESIA",0,D285*F285)</f>
      </c>
      <c r="I285" s="147" t="s">
        <v>50</v>
      </c>
      <c r="J285" s="147" t="s">
        <v>74</v>
      </c>
      <c r="K285" s="149" t="s">
        <v>428</v>
      </c>
      <c r="L285" s="2"/>
      <c r="M285" s="1"/>
      <c r="N285" s="1"/>
      <c r="O285" s="1"/>
    </row>
    <row x14ac:dyDescent="0.25" r="286" customHeight="1" ht="18.75" hidden="1">
      <c r="A286" s="65">
        <v>45698</v>
      </c>
      <c r="B286" s="147" t="s">
        <v>475</v>
      </c>
      <c r="C286" s="66">
        <v>11953058972</v>
      </c>
      <c r="D286" s="66">
        <v>2</v>
      </c>
      <c r="E286" s="147" t="s">
        <v>78</v>
      </c>
      <c r="F286" s="96">
        <f>VLOOKUP(E286,CONFIGURAÇÃO!E:F,2,0)</f>
      </c>
      <c r="G286" s="147" t="s">
        <v>13</v>
      </c>
      <c r="H286" s="96">
        <f>IF(G286="CORTESIA",0,D286*F286)</f>
      </c>
      <c r="I286" s="147" t="s">
        <v>50</v>
      </c>
      <c r="J286" s="147" t="s">
        <v>74</v>
      </c>
      <c r="K286" s="149" t="s">
        <v>428</v>
      </c>
      <c r="L286" s="2"/>
      <c r="M286" s="1"/>
      <c r="N286" s="1"/>
      <c r="O286" s="1"/>
    </row>
    <row x14ac:dyDescent="0.25" r="287" customHeight="1" ht="18.75" hidden="1">
      <c r="A287" s="65">
        <v>45699</v>
      </c>
      <c r="B287" s="147" t="s">
        <v>471</v>
      </c>
      <c r="C287" s="66">
        <v>11919941682</v>
      </c>
      <c r="D287" s="66">
        <v>2</v>
      </c>
      <c r="E287" s="147" t="s">
        <v>183</v>
      </c>
      <c r="F287" s="96">
        <f>VLOOKUP(E287,CONFIGURAÇÃO!E:F,2,0)</f>
      </c>
      <c r="G287" s="147" t="s">
        <v>73</v>
      </c>
      <c r="H287" s="96">
        <f>IF(G287="CORTESIA",0,D287*F287)</f>
      </c>
      <c r="I287" s="147" t="s">
        <v>50</v>
      </c>
      <c r="J287" s="147" t="s">
        <v>74</v>
      </c>
      <c r="K287" s="147"/>
      <c r="L287" s="2"/>
      <c r="M287" s="1"/>
      <c r="N287" s="1"/>
      <c r="O287" s="1"/>
    </row>
    <row x14ac:dyDescent="0.25" r="288" customHeight="1" ht="18.75" hidden="1">
      <c r="A288" s="65">
        <v>45699</v>
      </c>
      <c r="B288" s="147" t="s">
        <v>471</v>
      </c>
      <c r="C288" s="66">
        <v>11919941682</v>
      </c>
      <c r="D288" s="66">
        <v>1</v>
      </c>
      <c r="E288" s="147" t="s">
        <v>78</v>
      </c>
      <c r="F288" s="96">
        <f>VLOOKUP(E288,CONFIGURAÇÃO!E:F,2,0)</f>
      </c>
      <c r="G288" s="147" t="s">
        <v>73</v>
      </c>
      <c r="H288" s="96">
        <f>IF(G288="CORTESIA",0,D288*F288)</f>
      </c>
      <c r="I288" s="147" t="s">
        <v>50</v>
      </c>
      <c r="J288" s="147" t="s">
        <v>74</v>
      </c>
      <c r="K288" s="147" t="s">
        <v>84</v>
      </c>
      <c r="L288" s="2"/>
      <c r="M288" s="1"/>
      <c r="N288" s="1"/>
      <c r="O288" s="1"/>
    </row>
    <row x14ac:dyDescent="0.25" r="289" customHeight="1" ht="18.75" hidden="1">
      <c r="A289" s="65">
        <v>45699</v>
      </c>
      <c r="B289" s="147" t="s">
        <v>453</v>
      </c>
      <c r="C289" s="66">
        <v>11997902808</v>
      </c>
      <c r="D289" s="66">
        <v>2</v>
      </c>
      <c r="E289" s="147" t="s">
        <v>78</v>
      </c>
      <c r="F289" s="96">
        <f>VLOOKUP(E289,CONFIGURAÇÃO!E:F,2,0)</f>
      </c>
      <c r="G289" s="147" t="s">
        <v>73</v>
      </c>
      <c r="H289" s="96">
        <f>IF(G289="CORTESIA",0,D289*F289)</f>
      </c>
      <c r="I289" s="147" t="s">
        <v>50</v>
      </c>
      <c r="J289" s="147" t="s">
        <v>74</v>
      </c>
      <c r="K289" s="147" t="s">
        <v>476</v>
      </c>
      <c r="L289" s="2"/>
      <c r="M289" s="1"/>
      <c r="N289" s="1"/>
      <c r="O289" s="1"/>
    </row>
    <row x14ac:dyDescent="0.25" r="290" customHeight="1" ht="18.75" hidden="1">
      <c r="A290" s="65">
        <v>45699</v>
      </c>
      <c r="B290" s="147" t="s">
        <v>453</v>
      </c>
      <c r="C290" s="66">
        <v>11997902808</v>
      </c>
      <c r="D290" s="66">
        <v>1</v>
      </c>
      <c r="E290" s="147" t="s">
        <v>183</v>
      </c>
      <c r="F290" s="96">
        <f>VLOOKUP(E290,CONFIGURAÇÃO!E:F,2,0)</f>
      </c>
      <c r="G290" s="147" t="s">
        <v>73</v>
      </c>
      <c r="H290" s="96">
        <f>IF(G290="CORTESIA",0,D290*F290)</f>
      </c>
      <c r="I290" s="147" t="s">
        <v>50</v>
      </c>
      <c r="J290" s="147" t="s">
        <v>74</v>
      </c>
      <c r="K290" s="147" t="s">
        <v>454</v>
      </c>
      <c r="L290" s="2"/>
      <c r="M290" s="1"/>
      <c r="N290" s="1"/>
      <c r="O290" s="1"/>
    </row>
    <row x14ac:dyDescent="0.25" r="291" customHeight="1" ht="18.75" hidden="1">
      <c r="A291" s="65">
        <v>45699</v>
      </c>
      <c r="B291" s="147" t="s">
        <v>427</v>
      </c>
      <c r="C291" s="66">
        <v>11987159059</v>
      </c>
      <c r="D291" s="66">
        <v>1</v>
      </c>
      <c r="E291" s="147" t="s">
        <v>183</v>
      </c>
      <c r="F291" s="96">
        <f>VLOOKUP(E291,CONFIGURAÇÃO!E:F,2,0)</f>
      </c>
      <c r="G291" s="147" t="s">
        <v>73</v>
      </c>
      <c r="H291" s="96">
        <f>IF(G291="CORTESIA",0,D291*F291)</f>
      </c>
      <c r="I291" s="147" t="s">
        <v>50</v>
      </c>
      <c r="J291" s="147" t="s">
        <v>74</v>
      </c>
      <c r="K291" s="149" t="s">
        <v>428</v>
      </c>
      <c r="L291" s="2"/>
      <c r="M291" s="1"/>
      <c r="N291" s="1"/>
      <c r="O291" s="1"/>
    </row>
    <row x14ac:dyDescent="0.25" r="292" customHeight="1" ht="18.75" hidden="1">
      <c r="A292" s="65">
        <v>45699</v>
      </c>
      <c r="B292" s="147" t="s">
        <v>477</v>
      </c>
      <c r="C292" s="66">
        <v>11948155260</v>
      </c>
      <c r="D292" s="66">
        <v>1</v>
      </c>
      <c r="E292" s="147" t="s">
        <v>183</v>
      </c>
      <c r="F292" s="96">
        <f>VLOOKUP(E292,CONFIGURAÇÃO!E:F,2,0)</f>
      </c>
      <c r="G292" s="147" t="s">
        <v>13</v>
      </c>
      <c r="H292" s="96">
        <f>IF(G292="CORTESIA",0,D292*F292)</f>
      </c>
      <c r="I292" s="147" t="s">
        <v>50</v>
      </c>
      <c r="J292" s="147" t="s">
        <v>74</v>
      </c>
      <c r="K292" s="147" t="s">
        <v>478</v>
      </c>
      <c r="L292" s="2"/>
      <c r="M292" s="1"/>
      <c r="N292" s="1"/>
      <c r="O292" s="1"/>
    </row>
    <row x14ac:dyDescent="0.25" r="293" customHeight="1" ht="18.75" hidden="1">
      <c r="A293" s="65">
        <v>45699</v>
      </c>
      <c r="B293" s="147" t="s">
        <v>297</v>
      </c>
      <c r="C293" s="66">
        <v>11993519472</v>
      </c>
      <c r="D293" s="66">
        <v>1</v>
      </c>
      <c r="E293" s="147" t="s">
        <v>183</v>
      </c>
      <c r="F293" s="96">
        <f>VLOOKUP(E293,CONFIGURAÇÃO!E:F,2,0)</f>
      </c>
      <c r="G293" s="147" t="s">
        <v>13</v>
      </c>
      <c r="H293" s="96">
        <f>IF(G293="CORTESIA",0,D293*F293)</f>
      </c>
      <c r="I293" s="147" t="s">
        <v>50</v>
      </c>
      <c r="J293" s="147" t="s">
        <v>74</v>
      </c>
      <c r="K293" s="147"/>
      <c r="L293" s="2"/>
      <c r="M293" s="1"/>
      <c r="N293" s="1"/>
      <c r="O293" s="1"/>
    </row>
    <row x14ac:dyDescent="0.25" r="294" customHeight="1" ht="18.75" hidden="1">
      <c r="A294" s="65">
        <v>45699</v>
      </c>
      <c r="B294" s="147" t="s">
        <v>463</v>
      </c>
      <c r="C294" s="66">
        <v>11911771198</v>
      </c>
      <c r="D294" s="66">
        <v>2</v>
      </c>
      <c r="E294" s="147" t="s">
        <v>183</v>
      </c>
      <c r="F294" s="96">
        <f>VLOOKUP(E294,CONFIGURAÇÃO!E:F,2,0)</f>
      </c>
      <c r="G294" s="147" t="s">
        <v>13</v>
      </c>
      <c r="H294" s="96">
        <f>IF(G294="CORTESIA",0,D294*F294)</f>
      </c>
      <c r="I294" s="147" t="s">
        <v>50</v>
      </c>
      <c r="J294" s="147" t="s">
        <v>74</v>
      </c>
      <c r="K294" s="149" t="s">
        <v>428</v>
      </c>
      <c r="L294" s="2"/>
      <c r="M294" s="1"/>
      <c r="N294" s="1"/>
      <c r="O294" s="1"/>
    </row>
    <row x14ac:dyDescent="0.25" r="295" customHeight="1" ht="18.75" hidden="1">
      <c r="A295" s="65">
        <v>45963</v>
      </c>
      <c r="B295" s="147" t="s">
        <v>426</v>
      </c>
      <c r="C295" s="66">
        <v>11920071045</v>
      </c>
      <c r="D295" s="66">
        <v>1</v>
      </c>
      <c r="E295" s="147" t="s">
        <v>183</v>
      </c>
      <c r="F295" s="96">
        <f>VLOOKUP(E295,CONFIGURAÇÃO!E:F,2,0)</f>
      </c>
      <c r="G295" s="147" t="s">
        <v>13</v>
      </c>
      <c r="H295" s="96">
        <f>IF(G295="CORTESIA",0,D295*F295)</f>
      </c>
      <c r="I295" s="147" t="s">
        <v>50</v>
      </c>
      <c r="J295" s="147" t="s">
        <v>74</v>
      </c>
      <c r="K295" s="147"/>
      <c r="L295" s="2"/>
      <c r="M295" s="1"/>
      <c r="N295" s="1"/>
      <c r="O295" s="1"/>
    </row>
    <row x14ac:dyDescent="0.25" r="296" customHeight="1" ht="18.75" hidden="1">
      <c r="A296" s="65">
        <v>45699</v>
      </c>
      <c r="B296" s="147" t="s">
        <v>173</v>
      </c>
      <c r="C296" s="66">
        <v>24981125714</v>
      </c>
      <c r="D296" s="66">
        <v>1</v>
      </c>
      <c r="E296" s="147" t="s">
        <v>183</v>
      </c>
      <c r="F296" s="96">
        <f>VLOOKUP(E296,CONFIGURAÇÃO!E:F,2,0)</f>
      </c>
      <c r="G296" s="147" t="s">
        <v>13</v>
      </c>
      <c r="H296" s="96">
        <f>IF(G296="CORTESIA",0,D296*F296)</f>
      </c>
      <c r="I296" s="147" t="s">
        <v>50</v>
      </c>
      <c r="J296" s="147" t="s">
        <v>74</v>
      </c>
      <c r="K296" s="147"/>
      <c r="L296" s="2"/>
      <c r="M296" s="1"/>
      <c r="N296" s="1"/>
      <c r="O296" s="1"/>
    </row>
    <row x14ac:dyDescent="0.25" r="297" customHeight="1" ht="18.75" hidden="1">
      <c r="A297" s="65">
        <v>45699</v>
      </c>
      <c r="B297" s="147" t="s">
        <v>474</v>
      </c>
      <c r="C297" s="66">
        <v>11971669969</v>
      </c>
      <c r="D297" s="66">
        <v>1</v>
      </c>
      <c r="E297" s="147" t="s">
        <v>183</v>
      </c>
      <c r="F297" s="96">
        <f>VLOOKUP(E297,CONFIGURAÇÃO!E:F,2,0)</f>
      </c>
      <c r="G297" s="147" t="s">
        <v>13</v>
      </c>
      <c r="H297" s="96">
        <f>IF(G297="CORTESIA",0,D297*F297)</f>
      </c>
      <c r="I297" s="147" t="s">
        <v>50</v>
      </c>
      <c r="J297" s="147" t="s">
        <v>74</v>
      </c>
      <c r="K297" s="147"/>
      <c r="L297" s="2"/>
      <c r="M297" s="1"/>
      <c r="N297" s="1"/>
      <c r="O297" s="1"/>
    </row>
    <row x14ac:dyDescent="0.25" r="298" customHeight="1" ht="18.75" hidden="1">
      <c r="A298" s="65">
        <v>45699</v>
      </c>
      <c r="B298" s="147" t="s">
        <v>455</v>
      </c>
      <c r="C298" s="66">
        <v>11952831796</v>
      </c>
      <c r="D298" s="66">
        <v>1</v>
      </c>
      <c r="E298" s="147" t="s">
        <v>183</v>
      </c>
      <c r="F298" s="96">
        <f>VLOOKUP(E298,CONFIGURAÇÃO!E:F,2,0)</f>
      </c>
      <c r="G298" s="147" t="s">
        <v>13</v>
      </c>
      <c r="H298" s="96">
        <f>IF(G298="CORTESIA",0,D298*F298)</f>
      </c>
      <c r="I298" s="147" t="s">
        <v>50</v>
      </c>
      <c r="J298" s="147" t="s">
        <v>74</v>
      </c>
      <c r="K298" s="147"/>
      <c r="L298" s="2"/>
      <c r="M298" s="1"/>
      <c r="N298" s="1"/>
      <c r="O298" s="1"/>
    </row>
    <row x14ac:dyDescent="0.25" r="299" customHeight="1" ht="18.75" hidden="1">
      <c r="A299" s="65">
        <v>45699</v>
      </c>
      <c r="B299" s="147" t="s">
        <v>395</v>
      </c>
      <c r="C299" s="66">
        <v>11981536575</v>
      </c>
      <c r="D299" s="66">
        <v>2</v>
      </c>
      <c r="E299" s="147" t="s">
        <v>78</v>
      </c>
      <c r="F299" s="96">
        <f>VLOOKUP(E299,CONFIGURAÇÃO!E:F,2,0)</f>
      </c>
      <c r="G299" s="147" t="s">
        <v>20</v>
      </c>
      <c r="H299" s="96">
        <f>IF(G299="CORTESIA",0,D299*F299)</f>
      </c>
      <c r="I299" s="147" t="s">
        <v>50</v>
      </c>
      <c r="J299" s="147" t="s">
        <v>74</v>
      </c>
      <c r="K299" s="147"/>
      <c r="L299" s="2"/>
      <c r="M299" s="1"/>
      <c r="N299" s="1"/>
      <c r="O299" s="1"/>
    </row>
    <row x14ac:dyDescent="0.25" r="300" customHeight="1" ht="18.75" hidden="1">
      <c r="A300" s="65">
        <v>45699</v>
      </c>
      <c r="B300" s="147" t="s">
        <v>293</v>
      </c>
      <c r="C300" s="66">
        <v>11959072761</v>
      </c>
      <c r="D300" s="66">
        <v>1</v>
      </c>
      <c r="E300" s="147" t="s">
        <v>183</v>
      </c>
      <c r="F300" s="96">
        <f>VLOOKUP(E300,CONFIGURAÇÃO!E:F,2,0)</f>
      </c>
      <c r="G300" s="147" t="s">
        <v>13</v>
      </c>
      <c r="H300" s="96">
        <f>IF(G300="CORTESIA",0,D300*F300)</f>
      </c>
      <c r="I300" s="147" t="s">
        <v>50</v>
      </c>
      <c r="J300" s="147" t="s">
        <v>74</v>
      </c>
      <c r="K300" s="147"/>
      <c r="L300" s="2"/>
      <c r="M300" s="1"/>
      <c r="N300" s="1"/>
      <c r="O300" s="1"/>
    </row>
    <row x14ac:dyDescent="0.25" r="301" customHeight="1" ht="18.75" hidden="1">
      <c r="A301" s="65">
        <v>45699</v>
      </c>
      <c r="B301" s="147" t="s">
        <v>479</v>
      </c>
      <c r="C301" s="66"/>
      <c r="D301" s="66">
        <v>2</v>
      </c>
      <c r="E301" s="147" t="s">
        <v>183</v>
      </c>
      <c r="F301" s="96">
        <f>VLOOKUP(E301,CONFIGURAÇÃO!E:F,2,0)</f>
      </c>
      <c r="G301" s="147" t="s">
        <v>13</v>
      </c>
      <c r="H301" s="96">
        <f>IF(G301="CORTESIA",0,D301*F301)</f>
      </c>
      <c r="I301" s="147" t="s">
        <v>50</v>
      </c>
      <c r="J301" s="147" t="s">
        <v>74</v>
      </c>
      <c r="K301" s="147"/>
      <c r="L301" s="2"/>
      <c r="M301" s="1"/>
      <c r="N301" s="1"/>
      <c r="O301" s="1"/>
    </row>
    <row x14ac:dyDescent="0.25" r="302" customHeight="1" ht="18.75" hidden="1">
      <c r="A302" s="65">
        <v>45699</v>
      </c>
      <c r="B302" s="147" t="s">
        <v>386</v>
      </c>
      <c r="C302" s="66">
        <v>11999065685</v>
      </c>
      <c r="D302" s="66">
        <v>1</v>
      </c>
      <c r="E302" s="147" t="s">
        <v>183</v>
      </c>
      <c r="F302" s="96">
        <f>VLOOKUP(E302,CONFIGURAÇÃO!E:F,2,0)</f>
      </c>
      <c r="G302" s="147" t="s">
        <v>13</v>
      </c>
      <c r="H302" s="96">
        <f>IF(G302="CORTESIA",0,D302*F302)</f>
      </c>
      <c r="I302" s="147" t="s">
        <v>50</v>
      </c>
      <c r="J302" s="147" t="s">
        <v>74</v>
      </c>
      <c r="K302" s="147"/>
      <c r="L302" s="2"/>
      <c r="M302" s="1"/>
      <c r="N302" s="1"/>
      <c r="O302" s="1"/>
    </row>
    <row x14ac:dyDescent="0.25" r="303" customHeight="1" ht="18.75" hidden="1">
      <c r="A303" s="65">
        <v>45699</v>
      </c>
      <c r="B303" s="147" t="s">
        <v>480</v>
      </c>
      <c r="C303" s="66">
        <v>11930512736</v>
      </c>
      <c r="D303" s="66">
        <v>1</v>
      </c>
      <c r="E303" s="147" t="s">
        <v>183</v>
      </c>
      <c r="F303" s="96">
        <f>VLOOKUP(E303,CONFIGURAÇÃO!E:F,2,0)</f>
      </c>
      <c r="G303" s="147" t="s">
        <v>13</v>
      </c>
      <c r="H303" s="96">
        <f>IF(G303="CORTESIA",0,D303*F303)</f>
      </c>
      <c r="I303" s="147" t="s">
        <v>50</v>
      </c>
      <c r="J303" s="147" t="s">
        <v>74</v>
      </c>
      <c r="K303" s="147"/>
      <c r="L303" s="2"/>
      <c r="M303" s="1"/>
      <c r="N303" s="1"/>
      <c r="O303" s="1"/>
    </row>
    <row x14ac:dyDescent="0.25" r="304" customHeight="1" ht="18.75" hidden="1">
      <c r="A304" s="65">
        <v>45699</v>
      </c>
      <c r="B304" s="147" t="s">
        <v>217</v>
      </c>
      <c r="C304" s="66">
        <v>11970355431</v>
      </c>
      <c r="D304" s="66">
        <v>2</v>
      </c>
      <c r="E304" s="147" t="s">
        <v>183</v>
      </c>
      <c r="F304" s="96">
        <f>VLOOKUP(E304,CONFIGURAÇÃO!E:F,2,0)</f>
      </c>
      <c r="G304" s="147" t="s">
        <v>73</v>
      </c>
      <c r="H304" s="96">
        <f>IF(G304="CORTESIA",0,D304*F304)</f>
      </c>
      <c r="I304" s="147" t="s">
        <v>50</v>
      </c>
      <c r="J304" s="147" t="s">
        <v>74</v>
      </c>
      <c r="K304" s="147" t="s">
        <v>393</v>
      </c>
      <c r="L304" s="2"/>
      <c r="M304" s="1"/>
      <c r="N304" s="1"/>
      <c r="O304" s="1"/>
    </row>
    <row x14ac:dyDescent="0.25" r="305" customHeight="1" ht="18.75" hidden="1">
      <c r="A305" s="65">
        <v>45699</v>
      </c>
      <c r="B305" s="147" t="s">
        <v>481</v>
      </c>
      <c r="C305" s="66">
        <v>11952748867</v>
      </c>
      <c r="D305" s="66">
        <v>1</v>
      </c>
      <c r="E305" s="147" t="s">
        <v>183</v>
      </c>
      <c r="F305" s="96">
        <f>VLOOKUP(E305,CONFIGURAÇÃO!E:F,2,0)</f>
      </c>
      <c r="G305" s="147" t="s">
        <v>13</v>
      </c>
      <c r="H305" s="96">
        <f>IF(G305="CORTESIA",0,D305*F305)</f>
      </c>
      <c r="I305" s="147" t="s">
        <v>50</v>
      </c>
      <c r="J305" s="147" t="s">
        <v>74</v>
      </c>
      <c r="K305" s="147"/>
      <c r="L305" s="2"/>
      <c r="M305" s="1"/>
      <c r="N305" s="1"/>
      <c r="O305" s="1"/>
    </row>
    <row x14ac:dyDescent="0.25" r="306" customHeight="1" ht="18.75" hidden="1">
      <c r="A306" s="65">
        <v>45699</v>
      </c>
      <c r="B306" s="147" t="s">
        <v>482</v>
      </c>
      <c r="C306" s="66">
        <v>11982375565</v>
      </c>
      <c r="D306" s="66">
        <v>1</v>
      </c>
      <c r="E306" s="147" t="s">
        <v>183</v>
      </c>
      <c r="F306" s="96">
        <f>VLOOKUP(E306,CONFIGURAÇÃO!E:F,2,0)</f>
      </c>
      <c r="G306" s="147" t="s">
        <v>13</v>
      </c>
      <c r="H306" s="96">
        <f>IF(G306="CORTESIA",0,D306*F306)</f>
      </c>
      <c r="I306" s="147" t="s">
        <v>50</v>
      </c>
      <c r="J306" s="147" t="s">
        <v>74</v>
      </c>
      <c r="K306" s="147"/>
      <c r="L306" s="2"/>
      <c r="M306" s="1"/>
      <c r="N306" s="1"/>
      <c r="O306" s="1"/>
    </row>
    <row x14ac:dyDescent="0.25" r="307" customHeight="1" ht="18.75" hidden="1">
      <c r="A307" s="65">
        <v>45699</v>
      </c>
      <c r="B307" s="147" t="s">
        <v>462</v>
      </c>
      <c r="C307" s="66">
        <v>11939417996</v>
      </c>
      <c r="D307" s="66">
        <v>1</v>
      </c>
      <c r="E307" s="147" t="s">
        <v>183</v>
      </c>
      <c r="F307" s="96">
        <f>VLOOKUP(E307,CONFIGURAÇÃO!E:F,2,0)</f>
      </c>
      <c r="G307" s="147" t="s">
        <v>13</v>
      </c>
      <c r="H307" s="96">
        <f>IF(G307="CORTESIA",0,D307*F307)</f>
      </c>
      <c r="I307" s="147" t="s">
        <v>50</v>
      </c>
      <c r="J307" s="147" t="s">
        <v>74</v>
      </c>
      <c r="K307" s="147"/>
      <c r="L307" s="2"/>
      <c r="M307" s="1"/>
      <c r="N307" s="1"/>
      <c r="O307" s="1"/>
    </row>
    <row x14ac:dyDescent="0.25" r="308" customHeight="1" ht="18.75" hidden="1">
      <c r="A308" s="65">
        <v>45699</v>
      </c>
      <c r="B308" s="147" t="s">
        <v>455</v>
      </c>
      <c r="C308" s="66">
        <v>11952831796</v>
      </c>
      <c r="D308" s="66">
        <v>1</v>
      </c>
      <c r="E308" s="147" t="s">
        <v>183</v>
      </c>
      <c r="F308" s="96">
        <f>VLOOKUP(E308,CONFIGURAÇÃO!E:F,2,0)</f>
      </c>
      <c r="G308" s="147" t="s">
        <v>13</v>
      </c>
      <c r="H308" s="96">
        <f>IF(G308="CORTESIA",0,D308*F308)</f>
      </c>
      <c r="I308" s="147" t="s">
        <v>50</v>
      </c>
      <c r="J308" s="147" t="s">
        <v>74</v>
      </c>
      <c r="K308" s="147"/>
      <c r="L308" s="2"/>
      <c r="M308" s="1"/>
      <c r="N308" s="1"/>
      <c r="O308" s="1"/>
    </row>
    <row x14ac:dyDescent="0.25" r="309" customHeight="1" ht="18.75" hidden="1">
      <c r="A309" s="65">
        <v>45699</v>
      </c>
      <c r="B309" s="147" t="s">
        <v>483</v>
      </c>
      <c r="C309" s="66">
        <v>11964277405</v>
      </c>
      <c r="D309" s="66">
        <v>1</v>
      </c>
      <c r="E309" s="147" t="s">
        <v>183</v>
      </c>
      <c r="F309" s="96">
        <f>VLOOKUP(E309,CONFIGURAÇÃO!E:F,2,0)</f>
      </c>
      <c r="G309" s="147" t="s">
        <v>73</v>
      </c>
      <c r="H309" s="96">
        <f>IF(G309="CORTESIA",0,D309*F309)</f>
      </c>
      <c r="I309" s="147" t="s">
        <v>50</v>
      </c>
      <c r="J309" s="147" t="s">
        <v>74</v>
      </c>
      <c r="K309" s="147" t="s">
        <v>393</v>
      </c>
      <c r="L309" s="2"/>
      <c r="M309" s="1"/>
      <c r="N309" s="1"/>
      <c r="O309" s="1"/>
    </row>
    <row x14ac:dyDescent="0.25" r="310" customHeight="1" ht="18.75" hidden="1">
      <c r="A310" s="65">
        <v>45699</v>
      </c>
      <c r="B310" s="147" t="s">
        <v>483</v>
      </c>
      <c r="C310" s="66">
        <v>11964277405</v>
      </c>
      <c r="D310" s="66">
        <v>1</v>
      </c>
      <c r="E310" s="147" t="s">
        <v>78</v>
      </c>
      <c r="F310" s="96">
        <f>VLOOKUP(E310,CONFIGURAÇÃO!E:F,2,0)</f>
      </c>
      <c r="G310" s="147" t="s">
        <v>73</v>
      </c>
      <c r="H310" s="96">
        <f>IF(G310="CORTESIA",0,D310*F310)</f>
      </c>
      <c r="I310" s="147" t="s">
        <v>50</v>
      </c>
      <c r="J310" s="147" t="s">
        <v>74</v>
      </c>
      <c r="K310" s="147" t="s">
        <v>393</v>
      </c>
      <c r="L310" s="2"/>
      <c r="M310" s="1"/>
      <c r="N310" s="1"/>
      <c r="O310" s="1"/>
    </row>
    <row x14ac:dyDescent="0.25" r="311" customHeight="1" ht="18.75" hidden="1">
      <c r="A311" s="65">
        <v>45699</v>
      </c>
      <c r="B311" s="147" t="s">
        <v>282</v>
      </c>
      <c r="C311" s="66">
        <v>11997474393</v>
      </c>
      <c r="D311" s="66">
        <v>1</v>
      </c>
      <c r="E311" s="147" t="s">
        <v>78</v>
      </c>
      <c r="F311" s="96">
        <f>VLOOKUP(E311,CONFIGURAÇÃO!E:F,2,0)</f>
      </c>
      <c r="G311" s="147" t="s">
        <v>73</v>
      </c>
      <c r="H311" s="96">
        <f>IF(G311="CORTESIA",0,D311*F311)</f>
      </c>
      <c r="I311" s="147" t="s">
        <v>50</v>
      </c>
      <c r="J311" s="147" t="s">
        <v>74</v>
      </c>
      <c r="K311" s="147" t="s">
        <v>393</v>
      </c>
      <c r="L311" s="2"/>
      <c r="M311" s="1"/>
      <c r="N311" s="1"/>
      <c r="O311" s="1"/>
    </row>
    <row x14ac:dyDescent="0.25" r="312" customHeight="1" ht="18.75" hidden="1">
      <c r="A312" s="65">
        <v>45700</v>
      </c>
      <c r="B312" s="147" t="s">
        <v>474</v>
      </c>
      <c r="C312" s="66">
        <v>11971669969</v>
      </c>
      <c r="D312" s="66">
        <v>1</v>
      </c>
      <c r="E312" s="147" t="s">
        <v>78</v>
      </c>
      <c r="F312" s="96">
        <f>VLOOKUP(E312,CONFIGURAÇÃO!E:F,2,0)</f>
      </c>
      <c r="G312" s="147" t="s">
        <v>13</v>
      </c>
      <c r="H312" s="96">
        <f>IF(G312="CORTESIA",0,D312*F312)</f>
      </c>
      <c r="I312" s="147" t="s">
        <v>50</v>
      </c>
      <c r="J312" s="147" t="s">
        <v>74</v>
      </c>
      <c r="K312" s="147"/>
      <c r="L312" s="2"/>
      <c r="M312" s="1"/>
      <c r="N312" s="1"/>
      <c r="O312" s="1"/>
    </row>
    <row x14ac:dyDescent="0.25" r="313" customHeight="1" ht="18.75" hidden="1">
      <c r="A313" s="65">
        <v>45700</v>
      </c>
      <c r="B313" s="147" t="s">
        <v>474</v>
      </c>
      <c r="C313" s="66">
        <v>11971669969</v>
      </c>
      <c r="D313" s="66">
        <v>1</v>
      </c>
      <c r="E313" s="147" t="s">
        <v>171</v>
      </c>
      <c r="F313" s="96">
        <f>VLOOKUP(E313,CONFIGURAÇÃO!E:F,2,0)</f>
      </c>
      <c r="G313" s="147" t="s">
        <v>13</v>
      </c>
      <c r="H313" s="96">
        <f>IF(G313="CORTESIA",0,D313*F313)</f>
      </c>
      <c r="I313" s="147" t="s">
        <v>50</v>
      </c>
      <c r="J313" s="147" t="s">
        <v>74</v>
      </c>
      <c r="K313" s="147"/>
      <c r="L313" s="2"/>
      <c r="M313" s="1"/>
      <c r="N313" s="1"/>
      <c r="O313" s="1"/>
    </row>
    <row x14ac:dyDescent="0.25" r="314" customHeight="1" ht="18.75" hidden="1">
      <c r="A314" s="65">
        <v>45700</v>
      </c>
      <c r="B314" s="147" t="s">
        <v>461</v>
      </c>
      <c r="C314" s="66">
        <v>11947131975</v>
      </c>
      <c r="D314" s="66">
        <v>2</v>
      </c>
      <c r="E314" s="147" t="s">
        <v>171</v>
      </c>
      <c r="F314" s="96">
        <f>VLOOKUP(E314,CONFIGURAÇÃO!E:F,2,0)</f>
      </c>
      <c r="G314" s="147" t="s">
        <v>13</v>
      </c>
      <c r="H314" s="96">
        <f>IF(G314="CORTESIA",0,D314*F314)</f>
      </c>
      <c r="I314" s="147" t="s">
        <v>50</v>
      </c>
      <c r="J314" s="147" t="s">
        <v>74</v>
      </c>
      <c r="K314" s="147"/>
      <c r="L314" s="2"/>
      <c r="M314" s="1"/>
      <c r="N314" s="1"/>
      <c r="O314" s="1"/>
    </row>
    <row x14ac:dyDescent="0.25" r="315" customHeight="1" ht="18.75" hidden="1">
      <c r="A315" s="65">
        <v>45700</v>
      </c>
      <c r="B315" s="147" t="s">
        <v>462</v>
      </c>
      <c r="C315" s="66">
        <v>11939417996</v>
      </c>
      <c r="D315" s="66">
        <v>1</v>
      </c>
      <c r="E315" s="147" t="s">
        <v>171</v>
      </c>
      <c r="F315" s="96">
        <f>VLOOKUP(E315,CONFIGURAÇÃO!E:F,2,0)</f>
      </c>
      <c r="G315" s="147" t="s">
        <v>13</v>
      </c>
      <c r="H315" s="96">
        <f>IF(G315="CORTESIA",0,D315*F315)</f>
      </c>
      <c r="I315" s="147" t="s">
        <v>50</v>
      </c>
      <c r="J315" s="147" t="s">
        <v>74</v>
      </c>
      <c r="K315" s="147"/>
      <c r="L315" s="2"/>
      <c r="M315" s="1"/>
      <c r="N315" s="1"/>
      <c r="O315" s="1"/>
    </row>
    <row x14ac:dyDescent="0.25" r="316" customHeight="1" ht="18.75" hidden="1">
      <c r="A316" s="65">
        <v>45700</v>
      </c>
      <c r="B316" s="147" t="s">
        <v>484</v>
      </c>
      <c r="C316" s="66">
        <v>11953072612</v>
      </c>
      <c r="D316" s="66">
        <v>1</v>
      </c>
      <c r="E316" s="147" t="s">
        <v>171</v>
      </c>
      <c r="F316" s="96">
        <f>VLOOKUP(E316,CONFIGURAÇÃO!E:F,2,0)</f>
      </c>
      <c r="G316" s="147" t="s">
        <v>13</v>
      </c>
      <c r="H316" s="96">
        <f>IF(G316="CORTESIA",0,D316*F316)</f>
      </c>
      <c r="I316" s="147" t="s">
        <v>50</v>
      </c>
      <c r="J316" s="147" t="s">
        <v>74</v>
      </c>
      <c r="K316" s="147"/>
      <c r="L316" s="2"/>
      <c r="M316" s="1"/>
      <c r="N316" s="1"/>
      <c r="O316" s="1"/>
    </row>
    <row x14ac:dyDescent="0.25" r="317" customHeight="1" ht="18.75" hidden="1">
      <c r="A317" s="65">
        <v>45700</v>
      </c>
      <c r="B317" s="147" t="s">
        <v>477</v>
      </c>
      <c r="C317" s="66">
        <v>11948155260</v>
      </c>
      <c r="D317" s="66">
        <v>1</v>
      </c>
      <c r="E317" s="147" t="s">
        <v>78</v>
      </c>
      <c r="F317" s="96">
        <f>VLOOKUP(E317,CONFIGURAÇÃO!E:F,2,0)</f>
      </c>
      <c r="G317" s="147" t="s">
        <v>13</v>
      </c>
      <c r="H317" s="96">
        <f>IF(G317="CORTESIA",0,D317*F317)</f>
      </c>
      <c r="I317" s="147" t="s">
        <v>50</v>
      </c>
      <c r="J317" s="147" t="s">
        <v>74</v>
      </c>
      <c r="K317" s="147" t="s">
        <v>478</v>
      </c>
      <c r="L317" s="2"/>
      <c r="M317" s="1"/>
      <c r="N317" s="1"/>
      <c r="O317" s="1"/>
    </row>
    <row x14ac:dyDescent="0.25" r="318" customHeight="1" ht="18.75" hidden="1">
      <c r="A318" s="65">
        <v>45700</v>
      </c>
      <c r="B318" s="147" t="s">
        <v>324</v>
      </c>
      <c r="C318" s="66">
        <v>11972383586</v>
      </c>
      <c r="D318" s="66">
        <v>1</v>
      </c>
      <c r="E318" s="147" t="s">
        <v>78</v>
      </c>
      <c r="F318" s="96">
        <f>VLOOKUP(E318,CONFIGURAÇÃO!E:F,2,0)</f>
      </c>
      <c r="G318" s="147" t="s">
        <v>13</v>
      </c>
      <c r="H318" s="96">
        <f>IF(G318="CORTESIA",0,D318*F318)</f>
      </c>
      <c r="I318" s="147" t="s">
        <v>50</v>
      </c>
      <c r="J318" s="147" t="s">
        <v>74</v>
      </c>
      <c r="K318" s="147"/>
      <c r="L318" s="2"/>
      <c r="M318" s="1"/>
      <c r="N318" s="1"/>
      <c r="O318" s="1"/>
    </row>
    <row x14ac:dyDescent="0.25" r="319" customHeight="1" ht="18.75" hidden="1">
      <c r="A319" s="65">
        <v>45700</v>
      </c>
      <c r="B319" s="147" t="s">
        <v>324</v>
      </c>
      <c r="C319" s="66">
        <v>11972383586</v>
      </c>
      <c r="D319" s="66">
        <v>1</v>
      </c>
      <c r="E319" s="147" t="s">
        <v>171</v>
      </c>
      <c r="F319" s="96">
        <f>VLOOKUP(E319,CONFIGURAÇÃO!E:F,2,0)</f>
      </c>
      <c r="G319" s="147" t="s">
        <v>13</v>
      </c>
      <c r="H319" s="96">
        <f>IF(G319="CORTESIA",0,D319*F319)</f>
      </c>
      <c r="I319" s="147" t="s">
        <v>50</v>
      </c>
      <c r="J319" s="147" t="s">
        <v>74</v>
      </c>
      <c r="K319" s="147"/>
      <c r="L319" s="2"/>
      <c r="M319" s="1"/>
      <c r="N319" s="1"/>
      <c r="O319" s="1"/>
    </row>
    <row x14ac:dyDescent="0.25" r="320" customHeight="1" ht="18.75" hidden="1">
      <c r="A320" s="65">
        <v>45700</v>
      </c>
      <c r="B320" s="147" t="s">
        <v>357</v>
      </c>
      <c r="C320" s="66">
        <v>11977760176</v>
      </c>
      <c r="D320" s="66">
        <v>1</v>
      </c>
      <c r="E320" s="147" t="s">
        <v>78</v>
      </c>
      <c r="F320" s="96">
        <f>VLOOKUP(E320,CONFIGURAÇÃO!E:F,2,0)</f>
      </c>
      <c r="G320" s="147" t="s">
        <v>13</v>
      </c>
      <c r="H320" s="96">
        <f>IF(G320="CORTESIA",0,D320*F320)</f>
      </c>
      <c r="I320" s="147" t="s">
        <v>50</v>
      </c>
      <c r="J320" s="147" t="s">
        <v>74</v>
      </c>
      <c r="K320" s="147"/>
      <c r="L320" s="2"/>
      <c r="M320" s="1"/>
      <c r="N320" s="1"/>
      <c r="O320" s="1"/>
    </row>
    <row x14ac:dyDescent="0.25" r="321" customHeight="1" ht="18.75" hidden="1">
      <c r="A321" s="65">
        <v>45700</v>
      </c>
      <c r="B321" s="147" t="s">
        <v>357</v>
      </c>
      <c r="C321" s="66">
        <v>11977760176</v>
      </c>
      <c r="D321" s="66">
        <v>1</v>
      </c>
      <c r="E321" s="147" t="s">
        <v>171</v>
      </c>
      <c r="F321" s="96">
        <f>VLOOKUP(E321,CONFIGURAÇÃO!E:F,2,0)</f>
      </c>
      <c r="G321" s="147" t="s">
        <v>13</v>
      </c>
      <c r="H321" s="96">
        <f>IF(G321="CORTESIA",0,D321*F321)</f>
      </c>
      <c r="I321" s="147" t="s">
        <v>50</v>
      </c>
      <c r="J321" s="147" t="s">
        <v>74</v>
      </c>
      <c r="K321" s="147"/>
      <c r="L321" s="2"/>
      <c r="M321" s="1"/>
      <c r="N321" s="1"/>
      <c r="O321" s="1"/>
    </row>
    <row x14ac:dyDescent="0.25" r="322" customHeight="1" ht="18.75" hidden="1">
      <c r="A322" s="65">
        <v>45700</v>
      </c>
      <c r="B322" s="147" t="s">
        <v>426</v>
      </c>
      <c r="C322" s="66">
        <v>11920071045</v>
      </c>
      <c r="D322" s="66">
        <v>1</v>
      </c>
      <c r="E322" s="147" t="s">
        <v>78</v>
      </c>
      <c r="F322" s="96">
        <f>VLOOKUP(E322,CONFIGURAÇÃO!E:F,2,0)</f>
      </c>
      <c r="G322" s="147" t="s">
        <v>13</v>
      </c>
      <c r="H322" s="96">
        <f>IF(G322="CORTESIA",0,D322*F322)</f>
      </c>
      <c r="I322" s="147" t="s">
        <v>50</v>
      </c>
      <c r="J322" s="147" t="s">
        <v>74</v>
      </c>
      <c r="K322" s="147"/>
      <c r="L322" s="2"/>
      <c r="M322" s="1"/>
      <c r="N322" s="1"/>
      <c r="O322" s="1"/>
    </row>
    <row x14ac:dyDescent="0.25" r="323" customHeight="1" ht="18.75" hidden="1">
      <c r="A323" s="65">
        <v>45700</v>
      </c>
      <c r="B323" s="147" t="s">
        <v>485</v>
      </c>
      <c r="C323" s="66">
        <v>11974899127</v>
      </c>
      <c r="D323" s="66">
        <v>1</v>
      </c>
      <c r="E323" s="147" t="s">
        <v>78</v>
      </c>
      <c r="F323" s="96">
        <f>VLOOKUP(E323,CONFIGURAÇÃO!E:F,2,0)</f>
      </c>
      <c r="G323" s="147" t="s">
        <v>73</v>
      </c>
      <c r="H323" s="96">
        <f>IF(G323="CORTESIA",0,D323*F323)</f>
      </c>
      <c r="I323" s="147" t="s">
        <v>50</v>
      </c>
      <c r="J323" s="147" t="s">
        <v>74</v>
      </c>
      <c r="K323" s="147"/>
      <c r="L323" s="2"/>
      <c r="M323" s="1"/>
      <c r="N323" s="1"/>
      <c r="O323" s="1"/>
    </row>
    <row x14ac:dyDescent="0.25" r="324" customHeight="1" ht="18.75" hidden="1">
      <c r="A324" s="65">
        <v>45700</v>
      </c>
      <c r="B324" s="147" t="s">
        <v>485</v>
      </c>
      <c r="C324" s="66">
        <v>11974899127</v>
      </c>
      <c r="D324" s="66">
        <v>1</v>
      </c>
      <c r="E324" s="147" t="s">
        <v>171</v>
      </c>
      <c r="F324" s="96">
        <f>VLOOKUP(E324,CONFIGURAÇÃO!E:F,2,0)</f>
      </c>
      <c r="G324" s="147" t="s">
        <v>73</v>
      </c>
      <c r="H324" s="96">
        <f>IF(G324="CORTESIA",0,D324*F324)</f>
      </c>
      <c r="I324" s="147" t="s">
        <v>50</v>
      </c>
      <c r="J324" s="147" t="s">
        <v>74</v>
      </c>
      <c r="K324" s="147"/>
      <c r="L324" s="2"/>
      <c r="M324" s="1"/>
      <c r="N324" s="1"/>
      <c r="O324" s="1"/>
    </row>
    <row x14ac:dyDescent="0.25" r="325" customHeight="1" ht="18.75" hidden="1">
      <c r="A325" s="65">
        <v>45700</v>
      </c>
      <c r="B325" s="147" t="s">
        <v>371</v>
      </c>
      <c r="C325" s="66">
        <v>11951621162</v>
      </c>
      <c r="D325" s="66">
        <v>1</v>
      </c>
      <c r="E325" s="147" t="s">
        <v>78</v>
      </c>
      <c r="F325" s="96">
        <f>VLOOKUP(E325,CONFIGURAÇÃO!E:F,2,0)</f>
      </c>
      <c r="G325" s="147" t="s">
        <v>13</v>
      </c>
      <c r="H325" s="96">
        <f>IF(G325="CORTESIA",0,D325*F325)</f>
      </c>
      <c r="I325" s="147" t="s">
        <v>50</v>
      </c>
      <c r="J325" s="147" t="s">
        <v>74</v>
      </c>
      <c r="K325" s="147"/>
      <c r="L325" s="2"/>
      <c r="M325" s="1"/>
      <c r="N325" s="1"/>
      <c r="O325" s="1"/>
    </row>
    <row x14ac:dyDescent="0.25" r="326" customHeight="1" ht="18.75" hidden="1">
      <c r="A326" s="65">
        <v>45700</v>
      </c>
      <c r="B326" s="147" t="s">
        <v>453</v>
      </c>
      <c r="C326" s="66">
        <v>11997902808</v>
      </c>
      <c r="D326" s="66">
        <v>4</v>
      </c>
      <c r="E326" s="147" t="s">
        <v>171</v>
      </c>
      <c r="F326" s="96">
        <f>VLOOKUP(E326,CONFIGURAÇÃO!E:F,2,0)</f>
      </c>
      <c r="G326" s="147" t="s">
        <v>73</v>
      </c>
      <c r="H326" s="96">
        <f>IF(G326="CORTESIA",0,D326*F326)</f>
      </c>
      <c r="I326" s="147" t="s">
        <v>50</v>
      </c>
      <c r="J326" s="147" t="s">
        <v>74</v>
      </c>
      <c r="K326" s="147" t="s">
        <v>454</v>
      </c>
      <c r="L326" s="2"/>
      <c r="M326" s="1"/>
      <c r="N326" s="1"/>
      <c r="O326" s="1"/>
    </row>
    <row x14ac:dyDescent="0.25" r="327" customHeight="1" ht="18.75" hidden="1">
      <c r="A327" s="65">
        <v>45700</v>
      </c>
      <c r="B327" s="147" t="s">
        <v>470</v>
      </c>
      <c r="C327" s="66">
        <v>11910773358</v>
      </c>
      <c r="D327" s="66">
        <v>1</v>
      </c>
      <c r="E327" s="147" t="s">
        <v>171</v>
      </c>
      <c r="F327" s="96">
        <f>VLOOKUP(E327,CONFIGURAÇÃO!E:F,2,0)</f>
      </c>
      <c r="G327" s="147" t="s">
        <v>13</v>
      </c>
      <c r="H327" s="96">
        <f>IF(G327="CORTESIA",0,D327*F327)</f>
      </c>
      <c r="I327" s="147" t="s">
        <v>50</v>
      </c>
      <c r="J327" s="147" t="s">
        <v>74</v>
      </c>
      <c r="K327" s="147"/>
      <c r="L327" s="2"/>
      <c r="M327" s="1"/>
      <c r="N327" s="1"/>
      <c r="O327" s="1"/>
    </row>
    <row x14ac:dyDescent="0.25" r="328" customHeight="1" ht="18.75" hidden="1">
      <c r="A328" s="65">
        <v>45700</v>
      </c>
      <c r="B328" s="147" t="s">
        <v>427</v>
      </c>
      <c r="C328" s="66">
        <v>11987159059</v>
      </c>
      <c r="D328" s="66">
        <v>1</v>
      </c>
      <c r="E328" s="147" t="s">
        <v>78</v>
      </c>
      <c r="F328" s="96">
        <f>VLOOKUP(E328,CONFIGURAÇÃO!E:F,2,0)</f>
      </c>
      <c r="G328" s="147" t="s">
        <v>73</v>
      </c>
      <c r="H328" s="96">
        <f>IF(G328="CORTESIA",0,D328*F328)</f>
      </c>
      <c r="I328" s="147" t="s">
        <v>50</v>
      </c>
      <c r="J328" s="147" t="s">
        <v>74</v>
      </c>
      <c r="K328" s="149" t="s">
        <v>428</v>
      </c>
      <c r="L328" s="2"/>
      <c r="M328" s="1"/>
      <c r="N328" s="1"/>
      <c r="O328" s="1"/>
    </row>
    <row x14ac:dyDescent="0.25" r="329" customHeight="1" ht="18.75" hidden="1">
      <c r="A329" s="65" t="s">
        <v>34</v>
      </c>
      <c r="B329" s="147" t="s">
        <v>471</v>
      </c>
      <c r="C329" s="66">
        <v>11919941682</v>
      </c>
      <c r="D329" s="66">
        <v>2</v>
      </c>
      <c r="E329" s="147" t="s">
        <v>78</v>
      </c>
      <c r="F329" s="96">
        <f>VLOOKUP(E329,CONFIGURAÇÃO!E:F,2,0)</f>
      </c>
      <c r="G329" s="147" t="s">
        <v>73</v>
      </c>
      <c r="H329" s="96">
        <f>IF(G329="CORTESIA",0,D329*F329)</f>
      </c>
      <c r="I329" s="147" t="s">
        <v>50</v>
      </c>
      <c r="J329" s="147" t="s">
        <v>74</v>
      </c>
      <c r="K329" s="147"/>
      <c r="L329" s="2"/>
      <c r="M329" s="1"/>
      <c r="N329" s="1"/>
      <c r="O329" s="1"/>
    </row>
    <row x14ac:dyDescent="0.25" r="330" customHeight="1" ht="18.75" hidden="1">
      <c r="A330" s="65" t="s">
        <v>34</v>
      </c>
      <c r="B330" s="147" t="s">
        <v>471</v>
      </c>
      <c r="C330" s="66">
        <v>11919941682</v>
      </c>
      <c r="D330" s="66">
        <v>1</v>
      </c>
      <c r="E330" s="147" t="s">
        <v>78</v>
      </c>
      <c r="F330" s="96">
        <f>VLOOKUP(E330,CONFIGURAÇÃO!E:F,2,0)</f>
      </c>
      <c r="G330" s="147" t="s">
        <v>73</v>
      </c>
      <c r="H330" s="96">
        <f>IF(G330="CORTESIA",0,D330*F330)</f>
      </c>
      <c r="I330" s="147" t="s">
        <v>50</v>
      </c>
      <c r="J330" s="147" t="s">
        <v>74</v>
      </c>
      <c r="K330" s="147"/>
      <c r="L330" s="2"/>
      <c r="M330" s="1"/>
      <c r="N330" s="1"/>
      <c r="O330" s="1"/>
    </row>
    <row x14ac:dyDescent="0.25" r="331" customHeight="1" ht="18.75" hidden="1">
      <c r="A331" s="65" t="s">
        <v>34</v>
      </c>
      <c r="B331" s="147" t="s">
        <v>486</v>
      </c>
      <c r="C331" s="66">
        <v>11999807859</v>
      </c>
      <c r="D331" s="66">
        <v>1</v>
      </c>
      <c r="E331" s="147" t="s">
        <v>78</v>
      </c>
      <c r="F331" s="96">
        <f>VLOOKUP(E331,CONFIGURAÇÃO!E:F,2,0)</f>
      </c>
      <c r="G331" s="147" t="s">
        <v>13</v>
      </c>
      <c r="H331" s="96">
        <f>IF(G331="CORTESIA",0,D331*F331)</f>
      </c>
      <c r="I331" s="147" t="s">
        <v>50</v>
      </c>
      <c r="J331" s="147" t="s">
        <v>74</v>
      </c>
      <c r="K331" s="147"/>
      <c r="L331" s="2"/>
      <c r="M331" s="1"/>
      <c r="N331" s="1"/>
      <c r="O331" s="1"/>
    </row>
    <row x14ac:dyDescent="0.25" r="332" customHeight="1" ht="18.75" hidden="1">
      <c r="A332" s="65" t="s">
        <v>34</v>
      </c>
      <c r="B332" s="147" t="s">
        <v>420</v>
      </c>
      <c r="C332" s="66">
        <v>11946028455</v>
      </c>
      <c r="D332" s="66">
        <v>1</v>
      </c>
      <c r="E332" s="147" t="s">
        <v>78</v>
      </c>
      <c r="F332" s="96">
        <f>VLOOKUP(E332,CONFIGURAÇÃO!E:F,2,0)</f>
      </c>
      <c r="G332" s="147" t="s">
        <v>73</v>
      </c>
      <c r="H332" s="96">
        <f>IF(G332="CORTESIA",0,D332*F332)</f>
      </c>
      <c r="I332" s="147" t="s">
        <v>50</v>
      </c>
      <c r="J332" s="147" t="s">
        <v>74</v>
      </c>
      <c r="K332" s="147" t="s">
        <v>393</v>
      </c>
      <c r="L332" s="2"/>
      <c r="M332" s="1"/>
      <c r="N332" s="1"/>
      <c r="O332" s="1"/>
    </row>
    <row x14ac:dyDescent="0.25" r="333" customHeight="1" ht="18.75" hidden="1">
      <c r="A333" s="65" t="s">
        <v>34</v>
      </c>
      <c r="B333" s="147" t="s">
        <v>286</v>
      </c>
      <c r="C333" s="66">
        <v>11970316586</v>
      </c>
      <c r="D333" s="66">
        <v>1</v>
      </c>
      <c r="E333" s="147" t="s">
        <v>183</v>
      </c>
      <c r="F333" s="96">
        <f>VLOOKUP(E333,CONFIGURAÇÃO!E:F,2,0)</f>
      </c>
      <c r="G333" s="147" t="s">
        <v>73</v>
      </c>
      <c r="H333" s="96">
        <f>IF(G333="CORTESIA",0,D333*F333)</f>
      </c>
      <c r="I333" s="147" t="s">
        <v>50</v>
      </c>
      <c r="J333" s="147" t="s">
        <v>74</v>
      </c>
      <c r="K333" s="147" t="s">
        <v>393</v>
      </c>
      <c r="L333" s="2"/>
      <c r="M333" s="1"/>
      <c r="N333" s="1"/>
      <c r="O333" s="1"/>
    </row>
    <row x14ac:dyDescent="0.25" r="334" customHeight="1" ht="18.75" hidden="1">
      <c r="A334" s="65" t="s">
        <v>34</v>
      </c>
      <c r="B334" s="147" t="s">
        <v>229</v>
      </c>
      <c r="C334" s="66">
        <v>11942802534</v>
      </c>
      <c r="D334" s="66">
        <v>1</v>
      </c>
      <c r="E334" s="147" t="s">
        <v>183</v>
      </c>
      <c r="F334" s="96">
        <f>VLOOKUP(E334,CONFIGURAÇÃO!E:F,2,0)</f>
      </c>
      <c r="G334" s="147" t="s">
        <v>13</v>
      </c>
      <c r="H334" s="96">
        <f>IF(G334="CORTESIA",0,D334*F334)</f>
      </c>
      <c r="I334" s="147" t="s">
        <v>50</v>
      </c>
      <c r="J334" s="147" t="s">
        <v>74</v>
      </c>
      <c r="K334" s="147"/>
      <c r="L334" s="2"/>
      <c r="M334" s="1"/>
      <c r="N334" s="1"/>
      <c r="O334" s="1"/>
    </row>
    <row x14ac:dyDescent="0.25" r="335" customHeight="1" ht="18.75" hidden="1">
      <c r="A335" s="65" t="s">
        <v>34</v>
      </c>
      <c r="B335" s="147" t="s">
        <v>465</v>
      </c>
      <c r="C335" s="66">
        <v>11961005168</v>
      </c>
      <c r="D335" s="66">
        <v>1</v>
      </c>
      <c r="E335" s="147" t="s">
        <v>171</v>
      </c>
      <c r="F335" s="96">
        <f>VLOOKUP(E335,CONFIGURAÇÃO!E:F,2,0)</f>
      </c>
      <c r="G335" s="147" t="s">
        <v>13</v>
      </c>
      <c r="H335" s="96">
        <f>IF(G335="CORTESIA",0,D335*F335)</f>
      </c>
      <c r="I335" s="147" t="s">
        <v>50</v>
      </c>
      <c r="J335" s="147" t="s">
        <v>74</v>
      </c>
      <c r="K335" s="147" t="s">
        <v>319</v>
      </c>
      <c r="L335" s="2"/>
      <c r="M335" s="1"/>
      <c r="N335" s="1"/>
      <c r="O335" s="1"/>
    </row>
    <row x14ac:dyDescent="0.25" r="336" customHeight="1" ht="18.75" hidden="1">
      <c r="A336" s="65" t="s">
        <v>34</v>
      </c>
      <c r="B336" s="147" t="s">
        <v>463</v>
      </c>
      <c r="C336" s="66">
        <v>11911771198</v>
      </c>
      <c r="D336" s="66">
        <v>2</v>
      </c>
      <c r="E336" s="147" t="s">
        <v>78</v>
      </c>
      <c r="F336" s="96">
        <f>VLOOKUP(E336,CONFIGURAÇÃO!E:F,2,0)</f>
      </c>
      <c r="G336" s="147" t="s">
        <v>13</v>
      </c>
      <c r="H336" s="96">
        <f>IF(G336="CORTESIA",0,D336*F336)</f>
      </c>
      <c r="I336" s="147" t="s">
        <v>50</v>
      </c>
      <c r="J336" s="147" t="s">
        <v>74</v>
      </c>
      <c r="K336" s="149" t="s">
        <v>428</v>
      </c>
      <c r="L336" s="2"/>
      <c r="M336" s="1"/>
      <c r="N336" s="1"/>
      <c r="O336" s="1"/>
    </row>
    <row x14ac:dyDescent="0.25" r="337" customHeight="1" ht="18.75" hidden="1">
      <c r="A337" s="65" t="s">
        <v>34</v>
      </c>
      <c r="B337" s="147" t="s">
        <v>297</v>
      </c>
      <c r="C337" s="66">
        <v>11993519472</v>
      </c>
      <c r="D337" s="66">
        <v>1</v>
      </c>
      <c r="E337" s="147" t="s">
        <v>78</v>
      </c>
      <c r="F337" s="96">
        <f>VLOOKUP(E337,CONFIGURAÇÃO!E:F,2,0)</f>
      </c>
      <c r="G337" s="147" t="s">
        <v>13</v>
      </c>
      <c r="H337" s="96">
        <f>IF(G337="CORTESIA",0,D337*F337)</f>
      </c>
      <c r="I337" s="147" t="s">
        <v>50</v>
      </c>
      <c r="J337" s="147" t="s">
        <v>74</v>
      </c>
      <c r="K337" s="147"/>
      <c r="L337" s="2"/>
      <c r="M337" s="1"/>
      <c r="N337" s="1"/>
      <c r="O337" s="1"/>
    </row>
    <row x14ac:dyDescent="0.25" r="338" customHeight="1" ht="18.75" hidden="1">
      <c r="A338" s="65" t="s">
        <v>34</v>
      </c>
      <c r="B338" s="147" t="s">
        <v>302</v>
      </c>
      <c r="C338" s="66">
        <v>11975037390</v>
      </c>
      <c r="D338" s="66">
        <v>1</v>
      </c>
      <c r="E338" s="147" t="s">
        <v>78</v>
      </c>
      <c r="F338" s="96">
        <f>VLOOKUP(E338,CONFIGURAÇÃO!E:F,2,0)</f>
      </c>
      <c r="G338" s="147" t="s">
        <v>73</v>
      </c>
      <c r="H338" s="96">
        <f>IF(G338="CORTESIA",0,D338*F338)</f>
      </c>
      <c r="I338" s="147" t="s">
        <v>50</v>
      </c>
      <c r="J338" s="147" t="s">
        <v>74</v>
      </c>
      <c r="K338" s="147" t="s">
        <v>393</v>
      </c>
      <c r="L338" s="2"/>
      <c r="M338" s="1"/>
      <c r="N338" s="1"/>
      <c r="O338" s="1"/>
    </row>
    <row x14ac:dyDescent="0.25" r="339" customHeight="1" ht="18.75" hidden="1">
      <c r="A339" s="65" t="s">
        <v>34</v>
      </c>
      <c r="B339" s="147" t="s">
        <v>217</v>
      </c>
      <c r="C339" s="66">
        <v>11970355431</v>
      </c>
      <c r="D339" s="66">
        <v>1</v>
      </c>
      <c r="E339" s="147" t="s">
        <v>171</v>
      </c>
      <c r="F339" s="96">
        <f>VLOOKUP(E339,CONFIGURAÇÃO!E:F,2,0)</f>
      </c>
      <c r="G339" s="147" t="s">
        <v>73</v>
      </c>
      <c r="H339" s="96">
        <f>IF(G339="CORTESIA",0,D339*F339)</f>
      </c>
      <c r="I339" s="147" t="s">
        <v>50</v>
      </c>
      <c r="J339" s="147" t="s">
        <v>74</v>
      </c>
      <c r="K339" s="147" t="s">
        <v>393</v>
      </c>
      <c r="L339" s="2"/>
      <c r="M339" s="1"/>
      <c r="N339" s="1"/>
      <c r="O339" s="1"/>
    </row>
    <row x14ac:dyDescent="0.25" r="340" customHeight="1" ht="18.75" hidden="1">
      <c r="A340" s="65" t="s">
        <v>34</v>
      </c>
      <c r="B340" s="147" t="s">
        <v>453</v>
      </c>
      <c r="C340" s="66">
        <v>11997902808</v>
      </c>
      <c r="D340" s="66">
        <v>1</v>
      </c>
      <c r="E340" s="147" t="s">
        <v>78</v>
      </c>
      <c r="F340" s="96">
        <f>VLOOKUP(E340,CONFIGURAÇÃO!E:F,2,0)</f>
      </c>
      <c r="G340" s="147" t="s">
        <v>73</v>
      </c>
      <c r="H340" s="96">
        <f>IF(G340="CORTESIA",0,D340*F340)</f>
      </c>
      <c r="I340" s="147" t="s">
        <v>50</v>
      </c>
      <c r="J340" s="147" t="s">
        <v>74</v>
      </c>
      <c r="K340" s="147" t="s">
        <v>454</v>
      </c>
      <c r="L340" s="2"/>
      <c r="M340" s="1"/>
      <c r="N340" s="1"/>
      <c r="O340" s="1"/>
    </row>
    <row x14ac:dyDescent="0.25" r="341" customHeight="1" ht="18.75" hidden="1">
      <c r="A341" s="65" t="s">
        <v>34</v>
      </c>
      <c r="B341" s="147" t="s">
        <v>453</v>
      </c>
      <c r="C341" s="66">
        <v>11997902808</v>
      </c>
      <c r="D341" s="66">
        <v>2</v>
      </c>
      <c r="E341" s="147" t="s">
        <v>183</v>
      </c>
      <c r="F341" s="96">
        <f>VLOOKUP(E341,CONFIGURAÇÃO!E:F,2,0)</f>
      </c>
      <c r="G341" s="147" t="s">
        <v>73</v>
      </c>
      <c r="H341" s="96">
        <f>IF(G341="CORTESIA",0,D341*F341)</f>
      </c>
      <c r="I341" s="147" t="s">
        <v>50</v>
      </c>
      <c r="J341" s="147" t="s">
        <v>74</v>
      </c>
      <c r="K341" s="147" t="s">
        <v>454</v>
      </c>
      <c r="L341" s="2"/>
      <c r="M341" s="1"/>
      <c r="N341" s="1"/>
      <c r="O341" s="1"/>
    </row>
    <row x14ac:dyDescent="0.25" r="342" customHeight="1" ht="18.75" hidden="1">
      <c r="A342" s="65" t="s">
        <v>34</v>
      </c>
      <c r="B342" s="147" t="s">
        <v>217</v>
      </c>
      <c r="C342" s="66">
        <v>11970355431</v>
      </c>
      <c r="D342" s="66">
        <v>1</v>
      </c>
      <c r="E342" s="147" t="s">
        <v>183</v>
      </c>
      <c r="F342" s="96">
        <f>VLOOKUP(E342,CONFIGURAÇÃO!E:F,2,0)</f>
      </c>
      <c r="G342" s="147" t="s">
        <v>73</v>
      </c>
      <c r="H342" s="96">
        <f>IF(G342="CORTESIA",0,D342*F342)</f>
      </c>
      <c r="I342" s="147" t="s">
        <v>50</v>
      </c>
      <c r="J342" s="147" t="s">
        <v>74</v>
      </c>
      <c r="K342" s="147" t="s">
        <v>393</v>
      </c>
      <c r="L342" s="2"/>
      <c r="M342" s="1"/>
      <c r="N342" s="1"/>
      <c r="O342" s="1"/>
    </row>
    <row x14ac:dyDescent="0.25" r="343" customHeight="1" ht="18.75" hidden="1">
      <c r="A343" s="65" t="s">
        <v>34</v>
      </c>
      <c r="B343" s="147" t="s">
        <v>395</v>
      </c>
      <c r="C343" s="66">
        <v>11981536575</v>
      </c>
      <c r="D343" s="66">
        <v>2</v>
      </c>
      <c r="E343" s="147" t="s">
        <v>78</v>
      </c>
      <c r="F343" s="96">
        <f>VLOOKUP(E343,CONFIGURAÇÃO!E:F,2,0)</f>
      </c>
      <c r="G343" s="147" t="s">
        <v>20</v>
      </c>
      <c r="H343" s="96">
        <f>IF(G343="CORTESIA",0,D343*F343)</f>
      </c>
      <c r="I343" s="147" t="s">
        <v>50</v>
      </c>
      <c r="J343" s="147" t="s">
        <v>74</v>
      </c>
      <c r="K343" s="147"/>
      <c r="L343" s="2"/>
      <c r="M343" s="1"/>
      <c r="N343" s="1"/>
      <c r="O343" s="1"/>
    </row>
    <row x14ac:dyDescent="0.25" r="344" customHeight="1" ht="18.75" hidden="1">
      <c r="A344" s="65" t="s">
        <v>34</v>
      </c>
      <c r="B344" s="147" t="s">
        <v>483</v>
      </c>
      <c r="C344" s="66">
        <v>11964277405</v>
      </c>
      <c r="D344" s="66">
        <v>1</v>
      </c>
      <c r="E344" s="147" t="s">
        <v>171</v>
      </c>
      <c r="F344" s="96">
        <f>VLOOKUP(E344,CONFIGURAÇÃO!E:F,2,0)</f>
      </c>
      <c r="G344" s="147" t="s">
        <v>73</v>
      </c>
      <c r="H344" s="96">
        <f>IF(G344="CORTESIA",0,D344*F344)</f>
      </c>
      <c r="I344" s="147" t="s">
        <v>50</v>
      </c>
      <c r="J344" s="147" t="s">
        <v>74</v>
      </c>
      <c r="K344" s="147" t="s">
        <v>393</v>
      </c>
      <c r="L344" s="2"/>
      <c r="M344" s="1"/>
      <c r="N344" s="1"/>
      <c r="O344" s="1"/>
    </row>
    <row x14ac:dyDescent="0.25" r="345" customHeight="1" ht="18.75" hidden="1">
      <c r="A345" s="65" t="s">
        <v>34</v>
      </c>
      <c r="B345" s="147" t="s">
        <v>343</v>
      </c>
      <c r="C345" s="66">
        <v>11982076672</v>
      </c>
      <c r="D345" s="66">
        <v>1</v>
      </c>
      <c r="E345" s="147" t="s">
        <v>183</v>
      </c>
      <c r="F345" s="96">
        <f>VLOOKUP(E345,CONFIGURAÇÃO!E:F,2,0)</f>
      </c>
      <c r="G345" s="147" t="s">
        <v>13</v>
      </c>
      <c r="H345" s="96">
        <f>IF(G345="CORTESIA",0,D345*F345)</f>
      </c>
      <c r="I345" s="147" t="s">
        <v>50</v>
      </c>
      <c r="J345" s="147" t="s">
        <v>74</v>
      </c>
      <c r="K345" s="147" t="s">
        <v>469</v>
      </c>
      <c r="L345" s="2"/>
      <c r="M345" s="1"/>
      <c r="N345" s="1"/>
      <c r="O345" s="1"/>
    </row>
    <row x14ac:dyDescent="0.25" r="346" customHeight="1" ht="18.75" hidden="1">
      <c r="A346" s="65" t="s">
        <v>34</v>
      </c>
      <c r="B346" s="147" t="s">
        <v>343</v>
      </c>
      <c r="C346" s="66">
        <v>11982076672</v>
      </c>
      <c r="D346" s="66">
        <v>1</v>
      </c>
      <c r="E346" s="147" t="s">
        <v>171</v>
      </c>
      <c r="F346" s="96">
        <f>VLOOKUP(E346,CONFIGURAÇÃO!E:F,2,0)</f>
      </c>
      <c r="G346" s="147" t="s">
        <v>13</v>
      </c>
      <c r="H346" s="96">
        <f>IF(G346="CORTESIA",0,D346*F346)</f>
      </c>
      <c r="I346" s="147" t="s">
        <v>50</v>
      </c>
      <c r="J346" s="147" t="s">
        <v>74</v>
      </c>
      <c r="K346" s="147" t="s">
        <v>469</v>
      </c>
      <c r="L346" s="2"/>
      <c r="M346" s="1"/>
      <c r="N346" s="1"/>
      <c r="O346" s="1"/>
    </row>
    <row x14ac:dyDescent="0.25" r="347" customHeight="1" ht="18.75" hidden="1">
      <c r="A347" s="65" t="s">
        <v>34</v>
      </c>
      <c r="B347" s="147" t="s">
        <v>481</v>
      </c>
      <c r="C347" s="66">
        <v>11952748867</v>
      </c>
      <c r="D347" s="66">
        <v>1</v>
      </c>
      <c r="E347" s="147" t="s">
        <v>183</v>
      </c>
      <c r="F347" s="96">
        <f>VLOOKUP(E347,CONFIGURAÇÃO!E:F,2,0)</f>
      </c>
      <c r="G347" s="147" t="s">
        <v>13</v>
      </c>
      <c r="H347" s="96">
        <f>IF(G347="CORTESIA",0,D347*F347)</f>
      </c>
      <c r="I347" s="147" t="s">
        <v>50</v>
      </c>
      <c r="J347" s="147" t="s">
        <v>74</v>
      </c>
      <c r="K347" s="147"/>
      <c r="L347" s="2"/>
      <c r="M347" s="1"/>
      <c r="N347" s="1"/>
      <c r="O347" s="1"/>
    </row>
    <row x14ac:dyDescent="0.25" r="348" customHeight="1" ht="18.75" hidden="1">
      <c r="A348" s="65" t="s">
        <v>34</v>
      </c>
      <c r="B348" s="147" t="s">
        <v>487</v>
      </c>
      <c r="C348" s="66">
        <v>11963533408</v>
      </c>
      <c r="D348" s="66">
        <v>1</v>
      </c>
      <c r="E348" s="147" t="s">
        <v>78</v>
      </c>
      <c r="F348" s="96">
        <f>VLOOKUP(E348,CONFIGURAÇÃO!E:F,2,0)</f>
      </c>
      <c r="G348" s="147" t="s">
        <v>13</v>
      </c>
      <c r="H348" s="96">
        <f>IF(G348="CORTESIA",0,D348*F348)</f>
      </c>
      <c r="I348" s="147" t="s">
        <v>50</v>
      </c>
      <c r="J348" s="147" t="s">
        <v>74</v>
      </c>
      <c r="K348" s="147"/>
      <c r="L348" s="2"/>
      <c r="M348" s="1"/>
      <c r="N348" s="1"/>
      <c r="O348" s="1"/>
    </row>
    <row x14ac:dyDescent="0.25" r="349" customHeight="1" ht="18.75" hidden="1">
      <c r="A349" s="65" t="s">
        <v>34</v>
      </c>
      <c r="B349" s="147" t="s">
        <v>293</v>
      </c>
      <c r="C349" s="66">
        <v>11959072761</v>
      </c>
      <c r="D349" s="66">
        <v>1</v>
      </c>
      <c r="E349" s="147" t="s">
        <v>171</v>
      </c>
      <c r="F349" s="96">
        <f>VLOOKUP(E349,CONFIGURAÇÃO!E:F,2,0)</f>
      </c>
      <c r="G349" s="147" t="s">
        <v>13</v>
      </c>
      <c r="H349" s="96">
        <f>IF(G349="CORTESIA",0,D349*F349)</f>
      </c>
      <c r="I349" s="147" t="s">
        <v>50</v>
      </c>
      <c r="J349" s="147" t="s">
        <v>74</v>
      </c>
      <c r="K349" s="147"/>
      <c r="L349" s="2"/>
      <c r="M349" s="1"/>
      <c r="N349" s="1"/>
      <c r="O349" s="1"/>
    </row>
    <row x14ac:dyDescent="0.25" r="350" customHeight="1" ht="18.75" hidden="1">
      <c r="A350" s="65" t="s">
        <v>34</v>
      </c>
      <c r="B350" s="147" t="s">
        <v>345</v>
      </c>
      <c r="C350" s="66">
        <v>11986264407</v>
      </c>
      <c r="D350" s="66">
        <v>1</v>
      </c>
      <c r="E350" s="147" t="s">
        <v>171</v>
      </c>
      <c r="F350" s="96">
        <f>VLOOKUP(E350,CONFIGURAÇÃO!E:F,2,0)</f>
      </c>
      <c r="G350" s="147" t="s">
        <v>73</v>
      </c>
      <c r="H350" s="96">
        <f>IF(G350="CORTESIA",0,D350*F350)</f>
      </c>
      <c r="I350" s="147" t="s">
        <v>50</v>
      </c>
      <c r="J350" s="147" t="s">
        <v>74</v>
      </c>
      <c r="K350" s="147"/>
      <c r="L350" s="2"/>
      <c r="M350" s="1"/>
      <c r="N350" s="1"/>
      <c r="O350" s="1"/>
    </row>
    <row x14ac:dyDescent="0.25" r="351" customHeight="1" ht="18.75" hidden="1">
      <c r="A351" s="65" t="s">
        <v>34</v>
      </c>
      <c r="B351" s="147" t="s">
        <v>474</v>
      </c>
      <c r="C351" s="66">
        <v>11971669969</v>
      </c>
      <c r="D351" s="66">
        <v>1</v>
      </c>
      <c r="E351" s="147" t="s">
        <v>183</v>
      </c>
      <c r="F351" s="96">
        <f>VLOOKUP(E351,CONFIGURAÇÃO!E:F,2,0)</f>
      </c>
      <c r="G351" s="147" t="s">
        <v>13</v>
      </c>
      <c r="H351" s="96">
        <f>IF(G351="CORTESIA",0,D351*F351)</f>
      </c>
      <c r="I351" s="147" t="s">
        <v>50</v>
      </c>
      <c r="J351" s="147" t="s">
        <v>74</v>
      </c>
      <c r="K351" s="147"/>
      <c r="L351" s="2"/>
      <c r="M351" s="1"/>
      <c r="N351" s="1"/>
      <c r="O351" s="1"/>
    </row>
    <row x14ac:dyDescent="0.25" r="352" customHeight="1" ht="18.75" hidden="1">
      <c r="A352" s="65" t="s">
        <v>34</v>
      </c>
      <c r="B352" s="147" t="s">
        <v>461</v>
      </c>
      <c r="C352" s="66">
        <v>11947131975</v>
      </c>
      <c r="D352" s="66">
        <v>1</v>
      </c>
      <c r="E352" s="147" t="s">
        <v>183</v>
      </c>
      <c r="F352" s="96">
        <f>VLOOKUP(E352,CONFIGURAÇÃO!E:F,2,0)</f>
      </c>
      <c r="G352" s="147" t="s">
        <v>13</v>
      </c>
      <c r="H352" s="96">
        <f>IF(G352="CORTESIA",0,D352*F352)</f>
      </c>
      <c r="I352" s="147" t="s">
        <v>50</v>
      </c>
      <c r="J352" s="147" t="s">
        <v>74</v>
      </c>
      <c r="K352" s="147"/>
      <c r="L352" s="2"/>
      <c r="M352" s="1"/>
      <c r="N352" s="1"/>
      <c r="O352" s="1"/>
    </row>
    <row x14ac:dyDescent="0.25" r="353" customHeight="1" ht="18.75" hidden="1">
      <c r="A353" s="65" t="s">
        <v>34</v>
      </c>
      <c r="B353" s="147" t="s">
        <v>488</v>
      </c>
      <c r="C353" s="66">
        <v>11979647745</v>
      </c>
      <c r="D353" s="66">
        <v>1</v>
      </c>
      <c r="E353" s="147" t="s">
        <v>183</v>
      </c>
      <c r="F353" s="96">
        <f>VLOOKUP(E353,CONFIGURAÇÃO!E:F,2,0)</f>
      </c>
      <c r="G353" s="147" t="s">
        <v>13</v>
      </c>
      <c r="H353" s="96">
        <f>IF(G353="CORTESIA",0,D353*F353)</f>
      </c>
      <c r="I353" s="147" t="s">
        <v>50</v>
      </c>
      <c r="J353" s="147" t="s">
        <v>74</v>
      </c>
      <c r="K353" s="147"/>
      <c r="L353" s="2"/>
      <c r="M353" s="1"/>
      <c r="N353" s="1"/>
      <c r="O353" s="1"/>
    </row>
    <row x14ac:dyDescent="0.25" r="354" customHeight="1" ht="18.75" hidden="1">
      <c r="A354" s="65" t="s">
        <v>34</v>
      </c>
      <c r="B354" s="147" t="s">
        <v>485</v>
      </c>
      <c r="C354" s="66">
        <v>11974899127</v>
      </c>
      <c r="D354" s="66">
        <v>1</v>
      </c>
      <c r="E354" s="147" t="s">
        <v>183</v>
      </c>
      <c r="F354" s="96">
        <f>VLOOKUP(E354,CONFIGURAÇÃO!E:F,2,0)</f>
      </c>
      <c r="G354" s="147" t="s">
        <v>73</v>
      </c>
      <c r="H354" s="96">
        <f>IF(G354="CORTESIA",0,D354*F354)</f>
      </c>
      <c r="I354" s="147" t="s">
        <v>50</v>
      </c>
      <c r="J354" s="147" t="s">
        <v>74</v>
      </c>
      <c r="K354" s="147"/>
      <c r="L354" s="2"/>
      <c r="M354" s="1"/>
      <c r="N354" s="1"/>
      <c r="O354" s="1"/>
    </row>
    <row x14ac:dyDescent="0.25" r="355" customHeight="1" ht="18.75" hidden="1">
      <c r="A355" s="65" t="s">
        <v>34</v>
      </c>
      <c r="B355" s="147" t="s">
        <v>386</v>
      </c>
      <c r="C355" s="66">
        <v>11999065685</v>
      </c>
      <c r="D355" s="66">
        <v>1</v>
      </c>
      <c r="E355" s="147" t="s">
        <v>183</v>
      </c>
      <c r="F355" s="96">
        <f>VLOOKUP(E355,CONFIGURAÇÃO!E:F,2,0)</f>
      </c>
      <c r="G355" s="147" t="s">
        <v>13</v>
      </c>
      <c r="H355" s="96">
        <f>IF(G355="CORTESIA",0,D355*F355)</f>
      </c>
      <c r="I355" s="147" t="s">
        <v>50</v>
      </c>
      <c r="J355" s="147" t="s">
        <v>74</v>
      </c>
      <c r="K355" s="147"/>
      <c r="L355" s="2"/>
      <c r="M355" s="1"/>
      <c r="N355" s="1"/>
      <c r="O355" s="1"/>
    </row>
    <row x14ac:dyDescent="0.25" r="356" customHeight="1" ht="18.75" hidden="1">
      <c r="A356" s="65" t="s">
        <v>34</v>
      </c>
      <c r="B356" s="147" t="s">
        <v>472</v>
      </c>
      <c r="C356" s="66">
        <v>11966492606</v>
      </c>
      <c r="D356" s="66">
        <v>1</v>
      </c>
      <c r="E356" s="147" t="s">
        <v>171</v>
      </c>
      <c r="F356" s="96">
        <f>VLOOKUP(E356,CONFIGURAÇÃO!E:F,2,0)</f>
      </c>
      <c r="G356" s="147" t="s">
        <v>13</v>
      </c>
      <c r="H356" s="96">
        <f>IF(G356="CORTESIA",0,D356*F356)</f>
      </c>
      <c r="I356" s="147" t="s">
        <v>50</v>
      </c>
      <c r="J356" s="147" t="s">
        <v>74</v>
      </c>
      <c r="K356" s="147"/>
      <c r="L356" s="2"/>
      <c r="M356" s="1"/>
      <c r="N356" s="1"/>
      <c r="O356" s="1"/>
    </row>
    <row x14ac:dyDescent="0.25" r="357" customHeight="1" ht="18.75" hidden="1">
      <c r="A357" s="65" t="s">
        <v>34</v>
      </c>
      <c r="B357" s="147" t="s">
        <v>459</v>
      </c>
      <c r="C357" s="66">
        <v>11945776448</v>
      </c>
      <c r="D357" s="66">
        <v>1</v>
      </c>
      <c r="E357" s="147" t="s">
        <v>183</v>
      </c>
      <c r="F357" s="96">
        <f>VLOOKUP(E357,CONFIGURAÇÃO!E:F,2,0)</f>
      </c>
      <c r="G357" s="147" t="s">
        <v>13</v>
      </c>
      <c r="H357" s="96">
        <f>IF(G357="CORTESIA",0,D357*F357)</f>
      </c>
      <c r="I357" s="147" t="s">
        <v>50</v>
      </c>
      <c r="J357" s="147" t="s">
        <v>74</v>
      </c>
      <c r="K357" s="147"/>
      <c r="L357" s="2"/>
      <c r="M357" s="1"/>
      <c r="N357" s="1"/>
      <c r="O357" s="1"/>
    </row>
    <row x14ac:dyDescent="0.25" r="358" customHeight="1" ht="18.75" hidden="1">
      <c r="A358" s="65" t="s">
        <v>34</v>
      </c>
      <c r="B358" s="147" t="s">
        <v>489</v>
      </c>
      <c r="C358" s="66">
        <v>11980331851</v>
      </c>
      <c r="D358" s="66">
        <v>1</v>
      </c>
      <c r="E358" s="147" t="s">
        <v>171</v>
      </c>
      <c r="F358" s="96">
        <f>VLOOKUP(E358,CONFIGURAÇÃO!E:F,2,0)</f>
      </c>
      <c r="G358" s="147" t="s">
        <v>13</v>
      </c>
      <c r="H358" s="96">
        <f>IF(G358="CORTESIA",0,D358*F358)</f>
      </c>
      <c r="I358" s="147" t="s">
        <v>50</v>
      </c>
      <c r="J358" s="147" t="s">
        <v>74</v>
      </c>
      <c r="K358" s="147"/>
      <c r="L358" s="2"/>
      <c r="M358" s="1"/>
      <c r="N358" s="1"/>
      <c r="O358" s="1"/>
    </row>
    <row x14ac:dyDescent="0.25" r="359" customHeight="1" ht="18.75" hidden="1">
      <c r="A359" s="65" t="s">
        <v>34</v>
      </c>
      <c r="B359" s="147" t="s">
        <v>490</v>
      </c>
      <c r="C359" s="169" t="s">
        <v>491</v>
      </c>
      <c r="D359" s="66">
        <v>1</v>
      </c>
      <c r="E359" s="147" t="s">
        <v>171</v>
      </c>
      <c r="F359" s="96">
        <f>VLOOKUP(E359,CONFIGURAÇÃO!E:F,2,0)</f>
      </c>
      <c r="G359" s="147" t="s">
        <v>73</v>
      </c>
      <c r="H359" s="96">
        <f>IF(G359="CORTESIA",0,D359*F359)</f>
      </c>
      <c r="I359" s="147" t="s">
        <v>50</v>
      </c>
      <c r="J359" s="147" t="s">
        <v>74</v>
      </c>
      <c r="K359" s="147"/>
      <c r="L359" s="2"/>
      <c r="M359" s="1"/>
      <c r="N359" s="1"/>
      <c r="O359" s="1"/>
    </row>
    <row x14ac:dyDescent="0.25" r="360" customHeight="1" ht="18.75" hidden="1">
      <c r="A360" s="65" t="s">
        <v>34</v>
      </c>
      <c r="B360" s="147" t="s">
        <v>246</v>
      </c>
      <c r="C360" s="66">
        <v>11947563854</v>
      </c>
      <c r="D360" s="66">
        <v>1</v>
      </c>
      <c r="E360" s="147" t="s">
        <v>171</v>
      </c>
      <c r="F360" s="96">
        <f>VLOOKUP(E360,CONFIGURAÇÃO!E:F,2,0)</f>
      </c>
      <c r="G360" s="147" t="s">
        <v>73</v>
      </c>
      <c r="H360" s="96">
        <f>IF(G360="CORTESIA",0,D360*F360)</f>
      </c>
      <c r="I360" s="147" t="s">
        <v>50</v>
      </c>
      <c r="J360" s="147" t="s">
        <v>74</v>
      </c>
      <c r="K360" s="147"/>
      <c r="L360" s="2"/>
      <c r="M360" s="1"/>
      <c r="N360" s="1"/>
      <c r="O360" s="1"/>
    </row>
    <row x14ac:dyDescent="0.25" r="361" customHeight="1" ht="18.75" hidden="1">
      <c r="A361" s="65" t="s">
        <v>34</v>
      </c>
      <c r="B361" s="147" t="s">
        <v>231</v>
      </c>
      <c r="C361" s="66">
        <v>11974438009</v>
      </c>
      <c r="D361" s="66">
        <v>1</v>
      </c>
      <c r="E361" s="147" t="s">
        <v>171</v>
      </c>
      <c r="F361" s="96">
        <f>VLOOKUP(E361,CONFIGURAÇÃO!E:F,2,0)</f>
      </c>
      <c r="G361" s="147" t="s">
        <v>73</v>
      </c>
      <c r="H361" s="96">
        <f>IF(G361="CORTESIA",0,D361*F361)</f>
      </c>
      <c r="I361" s="147" t="s">
        <v>50</v>
      </c>
      <c r="J361" s="147" t="s">
        <v>74</v>
      </c>
      <c r="K361" s="147" t="s">
        <v>393</v>
      </c>
      <c r="L361" s="2"/>
      <c r="M361" s="1"/>
      <c r="N361" s="1"/>
      <c r="O361" s="1"/>
    </row>
    <row x14ac:dyDescent="0.25" r="362" customHeight="1" ht="18.75" hidden="1">
      <c r="A362" s="65" t="s">
        <v>34</v>
      </c>
      <c r="B362" s="147" t="s">
        <v>421</v>
      </c>
      <c r="C362" s="66">
        <v>11911036051</v>
      </c>
      <c r="D362" s="66">
        <v>1</v>
      </c>
      <c r="E362" s="147" t="s">
        <v>171</v>
      </c>
      <c r="F362" s="96">
        <f>VLOOKUP(E362,CONFIGURAÇÃO!E:F,2,0)</f>
      </c>
      <c r="G362" s="147" t="s">
        <v>73</v>
      </c>
      <c r="H362" s="96">
        <f>IF(G362="CORTESIA",0,D362*F362)</f>
      </c>
      <c r="I362" s="147" t="s">
        <v>50</v>
      </c>
      <c r="J362" s="147" t="s">
        <v>74</v>
      </c>
      <c r="K362" s="147"/>
      <c r="L362" s="2"/>
      <c r="M362" s="1"/>
      <c r="N362" s="1"/>
      <c r="O362" s="1"/>
    </row>
    <row x14ac:dyDescent="0.25" r="363" customHeight="1" ht="18.75" hidden="1">
      <c r="A363" s="65" t="s">
        <v>34</v>
      </c>
      <c r="B363" s="147" t="s">
        <v>459</v>
      </c>
      <c r="C363" s="66">
        <v>11945776448</v>
      </c>
      <c r="D363" s="66">
        <v>1</v>
      </c>
      <c r="E363" s="147" t="s">
        <v>78</v>
      </c>
      <c r="F363" s="96">
        <f>VLOOKUP(E363,CONFIGURAÇÃO!E:F,2,0)</f>
      </c>
      <c r="G363" s="147" t="s">
        <v>13</v>
      </c>
      <c r="H363" s="96">
        <f>IF(G363="CORTESIA",0,D363*F363)</f>
      </c>
      <c r="I363" s="147" t="s">
        <v>50</v>
      </c>
      <c r="J363" s="147" t="s">
        <v>74</v>
      </c>
      <c r="K363" s="147"/>
      <c r="L363" s="2"/>
      <c r="M363" s="1"/>
      <c r="N363" s="1"/>
      <c r="O363" s="1"/>
    </row>
    <row x14ac:dyDescent="0.25" r="364" customHeight="1" ht="18.75" hidden="1">
      <c r="A364" s="65" t="s">
        <v>34</v>
      </c>
      <c r="B364" s="147" t="s">
        <v>492</v>
      </c>
      <c r="C364" s="66">
        <v>11941279224</v>
      </c>
      <c r="D364" s="66">
        <v>1</v>
      </c>
      <c r="E364" s="147" t="s">
        <v>78</v>
      </c>
      <c r="F364" s="96">
        <f>VLOOKUP(E364,CONFIGURAÇÃO!E:F,2,0)</f>
      </c>
      <c r="G364" s="147" t="s">
        <v>13</v>
      </c>
      <c r="H364" s="96">
        <f>IF(G364="CORTESIA",0,D364*F364)</f>
      </c>
      <c r="I364" s="147" t="s">
        <v>50</v>
      </c>
      <c r="J364" s="147" t="s">
        <v>74</v>
      </c>
      <c r="K364" s="147"/>
      <c r="L364" s="2"/>
      <c r="M364" s="1"/>
      <c r="N364" s="1"/>
      <c r="O364" s="1"/>
    </row>
    <row x14ac:dyDescent="0.25" r="365" customHeight="1" ht="18.75" hidden="1">
      <c r="A365" s="65" t="s">
        <v>34</v>
      </c>
      <c r="B365" s="147" t="s">
        <v>199</v>
      </c>
      <c r="C365" s="66">
        <v>11937409836</v>
      </c>
      <c r="D365" s="66">
        <v>1</v>
      </c>
      <c r="E365" s="147" t="s">
        <v>171</v>
      </c>
      <c r="F365" s="96">
        <f>VLOOKUP(E365,CONFIGURAÇÃO!E:F,2,0)</f>
      </c>
      <c r="G365" s="147" t="s">
        <v>13</v>
      </c>
      <c r="H365" s="96">
        <f>IF(G365="CORTESIA",0,D365*F365)</f>
      </c>
      <c r="I365" s="147" t="s">
        <v>50</v>
      </c>
      <c r="J365" s="147" t="s">
        <v>74</v>
      </c>
      <c r="K365" s="147"/>
      <c r="L365" s="2"/>
      <c r="M365" s="1"/>
      <c r="N365" s="1"/>
      <c r="O365" s="1"/>
    </row>
    <row x14ac:dyDescent="0.25" r="366" customHeight="1" ht="18.75" hidden="1">
      <c r="A366" s="65" t="s">
        <v>36</v>
      </c>
      <c r="B366" s="147" t="s">
        <v>474</v>
      </c>
      <c r="C366" s="66">
        <v>11971669969</v>
      </c>
      <c r="D366" s="66">
        <v>2</v>
      </c>
      <c r="E366" s="147" t="s">
        <v>183</v>
      </c>
      <c r="F366" s="96">
        <f>VLOOKUP(E366,CONFIGURAÇÃO!E:F,2,0)</f>
      </c>
      <c r="G366" s="147" t="s">
        <v>13</v>
      </c>
      <c r="H366" s="96">
        <f>IF(G366="CORTESIA",0,D366*F366)</f>
      </c>
      <c r="I366" s="147" t="s">
        <v>50</v>
      </c>
      <c r="J366" s="147" t="s">
        <v>74</v>
      </c>
      <c r="K366" s="147"/>
      <c r="L366" s="2"/>
      <c r="M366" s="1"/>
      <c r="N366" s="1"/>
      <c r="O366" s="1"/>
    </row>
    <row x14ac:dyDescent="0.25" r="367" customHeight="1" ht="18.75" hidden="1">
      <c r="A367" s="65" t="s">
        <v>36</v>
      </c>
      <c r="B367" s="147" t="s">
        <v>427</v>
      </c>
      <c r="C367" s="66">
        <v>11987159059</v>
      </c>
      <c r="D367" s="66">
        <v>2</v>
      </c>
      <c r="E367" s="147" t="s">
        <v>183</v>
      </c>
      <c r="F367" s="96">
        <f>VLOOKUP(E367,CONFIGURAÇÃO!E:F,2,0)</f>
      </c>
      <c r="G367" s="147" t="s">
        <v>73</v>
      </c>
      <c r="H367" s="96">
        <f>IF(G367="CORTESIA",0,D367*F367)</f>
      </c>
      <c r="I367" s="147" t="s">
        <v>50</v>
      </c>
      <c r="J367" s="147" t="s">
        <v>74</v>
      </c>
      <c r="K367" s="149" t="s">
        <v>428</v>
      </c>
      <c r="L367" s="2"/>
      <c r="M367" s="1"/>
      <c r="N367" s="1"/>
      <c r="O367" s="1"/>
    </row>
    <row x14ac:dyDescent="0.25" r="368" customHeight="1" ht="18.75" hidden="1">
      <c r="A368" s="65" t="s">
        <v>36</v>
      </c>
      <c r="B368" s="147" t="s">
        <v>371</v>
      </c>
      <c r="C368" s="66">
        <v>11951621162</v>
      </c>
      <c r="D368" s="66">
        <v>1</v>
      </c>
      <c r="E368" s="147" t="s">
        <v>183</v>
      </c>
      <c r="F368" s="96">
        <f>VLOOKUP(E368,CONFIGURAÇÃO!E:F,2,0)</f>
      </c>
      <c r="G368" s="147" t="s">
        <v>13</v>
      </c>
      <c r="H368" s="96">
        <f>IF(G368="CORTESIA",0,D368*F368)</f>
      </c>
      <c r="I368" s="147" t="s">
        <v>50</v>
      </c>
      <c r="J368" s="147" t="s">
        <v>74</v>
      </c>
      <c r="K368" s="147"/>
      <c r="L368" s="2"/>
      <c r="M368" s="1"/>
      <c r="N368" s="1"/>
      <c r="O368" s="1"/>
    </row>
    <row x14ac:dyDescent="0.25" r="369" customHeight="1" ht="18.75" hidden="1">
      <c r="A369" s="65" t="s">
        <v>36</v>
      </c>
      <c r="B369" s="147" t="s">
        <v>489</v>
      </c>
      <c r="C369" s="66">
        <v>11980331851</v>
      </c>
      <c r="D369" s="66">
        <v>1</v>
      </c>
      <c r="E369" s="147" t="s">
        <v>183</v>
      </c>
      <c r="F369" s="96">
        <f>VLOOKUP(E369,CONFIGURAÇÃO!E:F,2,0)</f>
      </c>
      <c r="G369" s="147" t="s">
        <v>13</v>
      </c>
      <c r="H369" s="96">
        <f>IF(G369="CORTESIA",0,D369*F369)</f>
      </c>
      <c r="I369" s="147" t="s">
        <v>50</v>
      </c>
      <c r="J369" s="147" t="s">
        <v>74</v>
      </c>
      <c r="K369" s="147"/>
      <c r="L369" s="2"/>
      <c r="M369" s="1"/>
      <c r="N369" s="1"/>
      <c r="O369" s="1"/>
    </row>
    <row x14ac:dyDescent="0.25" r="370" customHeight="1" ht="18.75" hidden="1">
      <c r="A370" s="65" t="s">
        <v>36</v>
      </c>
      <c r="B370" s="147" t="s">
        <v>286</v>
      </c>
      <c r="C370" s="66">
        <v>11970316586</v>
      </c>
      <c r="D370" s="66">
        <v>1</v>
      </c>
      <c r="E370" s="147" t="s">
        <v>183</v>
      </c>
      <c r="F370" s="96">
        <f>VLOOKUP(E370,CONFIGURAÇÃO!E:F,2,0)</f>
      </c>
      <c r="G370" s="147" t="s">
        <v>73</v>
      </c>
      <c r="H370" s="96">
        <f>IF(G370="CORTESIA",0,D370*F370)</f>
      </c>
      <c r="I370" s="147" t="s">
        <v>50</v>
      </c>
      <c r="J370" s="147" t="s">
        <v>74</v>
      </c>
      <c r="K370" s="147" t="s">
        <v>393</v>
      </c>
      <c r="L370" s="2"/>
      <c r="M370" s="1"/>
      <c r="N370" s="1"/>
      <c r="O370" s="1"/>
    </row>
    <row x14ac:dyDescent="0.25" r="371" customHeight="1" ht="18.75" hidden="1">
      <c r="A371" s="65" t="s">
        <v>36</v>
      </c>
      <c r="B371" s="147" t="s">
        <v>421</v>
      </c>
      <c r="C371" s="66">
        <v>11911036051</v>
      </c>
      <c r="D371" s="66">
        <v>1</v>
      </c>
      <c r="E371" s="147" t="s">
        <v>183</v>
      </c>
      <c r="F371" s="96">
        <f>VLOOKUP(E371,CONFIGURAÇÃO!E:F,2,0)</f>
      </c>
      <c r="G371" s="147" t="s">
        <v>73</v>
      </c>
      <c r="H371" s="96">
        <f>IF(G371="CORTESIA",0,D371*F371)</f>
      </c>
      <c r="I371" s="147" t="s">
        <v>50</v>
      </c>
      <c r="J371" s="147" t="s">
        <v>74</v>
      </c>
      <c r="K371" s="147"/>
      <c r="L371" s="2"/>
      <c r="M371" s="1"/>
      <c r="N371" s="1"/>
      <c r="O371" s="1"/>
    </row>
    <row x14ac:dyDescent="0.25" r="372" customHeight="1" ht="18.75" hidden="1">
      <c r="A372" s="65" t="s">
        <v>36</v>
      </c>
      <c r="B372" s="147" t="s">
        <v>216</v>
      </c>
      <c r="C372" s="66">
        <v>11971482968</v>
      </c>
      <c r="D372" s="66">
        <v>1</v>
      </c>
      <c r="E372" s="147" t="s">
        <v>72</v>
      </c>
      <c r="F372" s="96">
        <f>VLOOKUP(E372,CONFIGURAÇÃO!E:F,2,0)</f>
      </c>
      <c r="G372" s="147" t="s">
        <v>73</v>
      </c>
      <c r="H372" s="96">
        <f>IF(G372="CORTESIA",0,D372*F372)</f>
      </c>
      <c r="I372" s="147" t="s">
        <v>50</v>
      </c>
      <c r="J372" s="147" t="s">
        <v>74</v>
      </c>
      <c r="K372" s="147" t="s">
        <v>393</v>
      </c>
      <c r="L372" s="2"/>
      <c r="M372" s="1"/>
      <c r="N372" s="1"/>
      <c r="O372" s="1"/>
    </row>
    <row x14ac:dyDescent="0.25" r="373" customHeight="1" ht="18.75" hidden="1">
      <c r="A373" s="65" t="s">
        <v>36</v>
      </c>
      <c r="B373" s="147" t="s">
        <v>487</v>
      </c>
      <c r="C373" s="66">
        <v>11963533408</v>
      </c>
      <c r="D373" s="66">
        <v>1</v>
      </c>
      <c r="E373" s="147" t="s">
        <v>183</v>
      </c>
      <c r="F373" s="96">
        <f>VLOOKUP(E373,CONFIGURAÇÃO!E:F,2,0)</f>
      </c>
      <c r="G373" s="147" t="s">
        <v>13</v>
      </c>
      <c r="H373" s="96">
        <f>IF(G373="CORTESIA",0,D373*F373)</f>
      </c>
      <c r="I373" s="147" t="s">
        <v>50</v>
      </c>
      <c r="J373" s="147" t="s">
        <v>74</v>
      </c>
      <c r="K373" s="147"/>
      <c r="L373" s="2"/>
      <c r="M373" s="1"/>
      <c r="N373" s="1"/>
      <c r="O373" s="1"/>
    </row>
    <row x14ac:dyDescent="0.25" r="374" customHeight="1" ht="18.75" hidden="1">
      <c r="A374" s="65" t="s">
        <v>36</v>
      </c>
      <c r="B374" s="147" t="s">
        <v>443</v>
      </c>
      <c r="C374" s="66">
        <v>11933819477</v>
      </c>
      <c r="D374" s="66">
        <v>1</v>
      </c>
      <c r="E374" s="147" t="s">
        <v>183</v>
      </c>
      <c r="F374" s="96">
        <f>VLOOKUP(E374,CONFIGURAÇÃO!E:F,2,0)</f>
      </c>
      <c r="G374" s="147" t="s">
        <v>13</v>
      </c>
      <c r="H374" s="96">
        <f>IF(G374="CORTESIA",0,D374*F374)</f>
      </c>
      <c r="I374" s="147" t="s">
        <v>50</v>
      </c>
      <c r="J374" s="147" t="s">
        <v>74</v>
      </c>
      <c r="K374" s="147"/>
      <c r="L374" s="2"/>
      <c r="M374" s="1"/>
      <c r="N374" s="1"/>
      <c r="O374" s="1"/>
    </row>
    <row x14ac:dyDescent="0.25" r="375" customHeight="1" ht="18.75" hidden="1">
      <c r="A375" s="65" t="s">
        <v>36</v>
      </c>
      <c r="B375" s="147" t="s">
        <v>386</v>
      </c>
      <c r="C375" s="66">
        <v>11999065685</v>
      </c>
      <c r="D375" s="66">
        <v>1</v>
      </c>
      <c r="E375" s="147" t="s">
        <v>183</v>
      </c>
      <c r="F375" s="96">
        <f>VLOOKUP(E375,CONFIGURAÇÃO!E:F,2,0)</f>
      </c>
      <c r="G375" s="147" t="s">
        <v>13</v>
      </c>
      <c r="H375" s="96">
        <f>IF(G375="CORTESIA",0,D375*F375)</f>
      </c>
      <c r="I375" s="147" t="s">
        <v>50</v>
      </c>
      <c r="J375" s="147" t="s">
        <v>74</v>
      </c>
      <c r="K375" s="147"/>
      <c r="L375" s="2"/>
      <c r="M375" s="1"/>
      <c r="N375" s="1"/>
      <c r="O375" s="1"/>
    </row>
    <row x14ac:dyDescent="0.25" r="376" customHeight="1" ht="18.75" hidden="1">
      <c r="A376" s="65" t="s">
        <v>36</v>
      </c>
      <c r="B376" s="147" t="s">
        <v>361</v>
      </c>
      <c r="C376" s="66">
        <v>11916962475</v>
      </c>
      <c r="D376" s="66">
        <v>1</v>
      </c>
      <c r="E376" s="147" t="s">
        <v>183</v>
      </c>
      <c r="F376" s="96">
        <f>VLOOKUP(E376,CONFIGURAÇÃO!E:F,2,0)</f>
      </c>
      <c r="G376" s="147" t="s">
        <v>13</v>
      </c>
      <c r="H376" s="96">
        <f>IF(G376="CORTESIA",0,D376*F376)</f>
      </c>
      <c r="I376" s="147" t="s">
        <v>50</v>
      </c>
      <c r="J376" s="147" t="s">
        <v>74</v>
      </c>
      <c r="K376" s="147"/>
      <c r="L376" s="2"/>
      <c r="M376" s="1"/>
      <c r="N376" s="1"/>
      <c r="O376" s="1"/>
    </row>
    <row x14ac:dyDescent="0.25" r="377" customHeight="1" ht="18.75" hidden="1">
      <c r="A377" s="65" t="s">
        <v>36</v>
      </c>
      <c r="B377" s="147" t="s">
        <v>293</v>
      </c>
      <c r="C377" s="66">
        <v>11959072761</v>
      </c>
      <c r="D377" s="66">
        <v>1</v>
      </c>
      <c r="E377" s="147" t="s">
        <v>183</v>
      </c>
      <c r="F377" s="96">
        <f>VLOOKUP(E377,CONFIGURAÇÃO!E:F,2,0)</f>
      </c>
      <c r="G377" s="147" t="s">
        <v>13</v>
      </c>
      <c r="H377" s="96">
        <f>IF(G377="CORTESIA",0,D377*F377)</f>
      </c>
      <c r="I377" s="147" t="s">
        <v>50</v>
      </c>
      <c r="J377" s="147" t="s">
        <v>74</v>
      </c>
      <c r="K377" s="147"/>
      <c r="L377" s="2"/>
      <c r="M377" s="1"/>
      <c r="N377" s="1"/>
      <c r="O377" s="1"/>
    </row>
    <row x14ac:dyDescent="0.25" r="378" customHeight="1" ht="18.75" hidden="1">
      <c r="A378" s="65" t="s">
        <v>36</v>
      </c>
      <c r="B378" s="147" t="s">
        <v>321</v>
      </c>
      <c r="C378" s="66">
        <v>11968281220</v>
      </c>
      <c r="D378" s="66">
        <v>1</v>
      </c>
      <c r="E378" s="147" t="s">
        <v>183</v>
      </c>
      <c r="F378" s="96">
        <f>VLOOKUP(E378,CONFIGURAÇÃO!E:F,2,0)</f>
      </c>
      <c r="G378" s="147" t="s">
        <v>13</v>
      </c>
      <c r="H378" s="96">
        <f>IF(G378="CORTESIA",0,D378*F378)</f>
      </c>
      <c r="I378" s="147" t="s">
        <v>50</v>
      </c>
      <c r="J378" s="147" t="s">
        <v>74</v>
      </c>
      <c r="K378" s="147"/>
      <c r="L378" s="2"/>
      <c r="M378" s="1"/>
      <c r="N378" s="1"/>
      <c r="O378" s="1"/>
    </row>
    <row x14ac:dyDescent="0.25" r="379" customHeight="1" ht="18.75" hidden="1">
      <c r="A379" s="65" t="s">
        <v>36</v>
      </c>
      <c r="B379" s="147" t="s">
        <v>173</v>
      </c>
      <c r="C379" s="66">
        <v>24981125714</v>
      </c>
      <c r="D379" s="66">
        <v>1</v>
      </c>
      <c r="E379" s="147" t="s">
        <v>183</v>
      </c>
      <c r="F379" s="96">
        <f>VLOOKUP(E379,CONFIGURAÇÃO!E:F,2,0)</f>
      </c>
      <c r="G379" s="147" t="s">
        <v>13</v>
      </c>
      <c r="H379" s="96">
        <f>IF(G379="CORTESIA",0,D379*F379)</f>
      </c>
      <c r="I379" s="147" t="s">
        <v>50</v>
      </c>
      <c r="J379" s="147" t="s">
        <v>74</v>
      </c>
      <c r="K379" s="147"/>
      <c r="L379" s="2"/>
      <c r="M379" s="1"/>
      <c r="N379" s="1"/>
      <c r="O379" s="1"/>
    </row>
    <row x14ac:dyDescent="0.25" r="380" customHeight="1" ht="18.75" hidden="1">
      <c r="A380" s="65" t="s">
        <v>36</v>
      </c>
      <c r="B380" s="147" t="s">
        <v>493</v>
      </c>
      <c r="C380" s="66">
        <v>11969432405</v>
      </c>
      <c r="D380" s="66">
        <v>1</v>
      </c>
      <c r="E380" s="147" t="s">
        <v>183</v>
      </c>
      <c r="F380" s="96">
        <f>VLOOKUP(E380,CONFIGURAÇÃO!E:F,2,0)</f>
      </c>
      <c r="G380" s="147" t="s">
        <v>73</v>
      </c>
      <c r="H380" s="96">
        <f>IF(G380="CORTESIA",0,D380*F380)</f>
      </c>
      <c r="I380" s="147" t="s">
        <v>50</v>
      </c>
      <c r="J380" s="147" t="s">
        <v>74</v>
      </c>
      <c r="K380" s="147"/>
      <c r="L380" s="2"/>
      <c r="M380" s="1"/>
      <c r="N380" s="1"/>
      <c r="O380" s="1"/>
    </row>
    <row x14ac:dyDescent="0.25" r="381" customHeight="1" ht="18.75" hidden="1">
      <c r="A381" s="65" t="s">
        <v>36</v>
      </c>
      <c r="B381" s="147" t="s">
        <v>420</v>
      </c>
      <c r="C381" s="66">
        <v>11946028455</v>
      </c>
      <c r="D381" s="66">
        <v>1</v>
      </c>
      <c r="E381" s="147" t="s">
        <v>183</v>
      </c>
      <c r="F381" s="96">
        <f>VLOOKUP(E381,CONFIGURAÇÃO!E:F,2,0)</f>
      </c>
      <c r="G381" s="147" t="s">
        <v>73</v>
      </c>
      <c r="H381" s="96">
        <f>IF(G381="CORTESIA",0,D381*F381)</f>
      </c>
      <c r="I381" s="147" t="s">
        <v>50</v>
      </c>
      <c r="J381" s="147" t="s">
        <v>74</v>
      </c>
      <c r="K381" s="147" t="s">
        <v>393</v>
      </c>
      <c r="L381" s="2"/>
      <c r="M381" s="1"/>
      <c r="N381" s="1"/>
      <c r="O381" s="1"/>
    </row>
    <row x14ac:dyDescent="0.25" r="382" customHeight="1" ht="18.75" hidden="1">
      <c r="A382" s="65" t="s">
        <v>36</v>
      </c>
      <c r="B382" s="147" t="s">
        <v>494</v>
      </c>
      <c r="C382" s="66">
        <v>11957849656</v>
      </c>
      <c r="D382" s="66">
        <v>1</v>
      </c>
      <c r="E382" s="147" t="s">
        <v>183</v>
      </c>
      <c r="F382" s="96">
        <f>VLOOKUP(E382,CONFIGURAÇÃO!E:F,2,0)</f>
      </c>
      <c r="G382" s="147" t="s">
        <v>73</v>
      </c>
      <c r="H382" s="96">
        <f>IF(G382="CORTESIA",0,D382*F382)</f>
      </c>
      <c r="I382" s="147" t="s">
        <v>50</v>
      </c>
      <c r="J382" s="147" t="s">
        <v>74</v>
      </c>
      <c r="K382" s="147" t="s">
        <v>393</v>
      </c>
      <c r="L382" s="2"/>
      <c r="M382" s="1"/>
      <c r="N382" s="1"/>
      <c r="O382" s="1"/>
    </row>
    <row x14ac:dyDescent="0.25" r="383" customHeight="1" ht="18.75" hidden="1">
      <c r="A383" s="65" t="s">
        <v>36</v>
      </c>
      <c r="B383" s="147" t="s">
        <v>329</v>
      </c>
      <c r="C383" s="66">
        <v>11991695773</v>
      </c>
      <c r="D383" s="66">
        <v>1</v>
      </c>
      <c r="E383" s="147" t="s">
        <v>183</v>
      </c>
      <c r="F383" s="96">
        <f>VLOOKUP(E383,CONFIGURAÇÃO!E:F,2,0)</f>
      </c>
      <c r="G383" s="147" t="s">
        <v>13</v>
      </c>
      <c r="H383" s="96">
        <f>IF(G383="CORTESIA",0,D383*F383)</f>
      </c>
      <c r="I383" s="147" t="s">
        <v>50</v>
      </c>
      <c r="J383" s="147" t="s">
        <v>74</v>
      </c>
      <c r="K383" s="147"/>
      <c r="L383" s="2"/>
      <c r="M383" s="1"/>
      <c r="N383" s="1"/>
      <c r="O383" s="1"/>
    </row>
    <row x14ac:dyDescent="0.25" r="384" customHeight="1" ht="18.75" hidden="1">
      <c r="A384" s="65" t="s">
        <v>36</v>
      </c>
      <c r="B384" s="147" t="s">
        <v>479</v>
      </c>
      <c r="C384" s="66"/>
      <c r="D384" s="66">
        <v>1</v>
      </c>
      <c r="E384" s="147" t="s">
        <v>183</v>
      </c>
      <c r="F384" s="96">
        <f>VLOOKUP(E384,CONFIGURAÇÃO!E:F,2,0)</f>
      </c>
      <c r="G384" s="147" t="s">
        <v>13</v>
      </c>
      <c r="H384" s="96">
        <f>IF(G384="CORTESIA",0,D384*F384)</f>
      </c>
      <c r="I384" s="147" t="s">
        <v>50</v>
      </c>
      <c r="J384" s="147" t="s">
        <v>74</v>
      </c>
      <c r="K384" s="147"/>
      <c r="L384" s="2"/>
      <c r="M384" s="1"/>
      <c r="N384" s="1"/>
      <c r="O384" s="1"/>
    </row>
    <row x14ac:dyDescent="0.25" r="385" customHeight="1" ht="18.75" hidden="1">
      <c r="A385" s="65" t="s">
        <v>36</v>
      </c>
      <c r="B385" s="147" t="s">
        <v>300</v>
      </c>
      <c r="C385" s="66">
        <v>11970263134</v>
      </c>
      <c r="D385" s="66">
        <v>1</v>
      </c>
      <c r="E385" s="147" t="s">
        <v>183</v>
      </c>
      <c r="F385" s="96">
        <f>VLOOKUP(E385,CONFIGURAÇÃO!E:F,2,0)</f>
      </c>
      <c r="G385" s="147" t="s">
        <v>13</v>
      </c>
      <c r="H385" s="96">
        <f>IF(G385="CORTESIA",0,D385*F385)</f>
      </c>
      <c r="I385" s="147" t="s">
        <v>50</v>
      </c>
      <c r="J385" s="147" t="s">
        <v>74</v>
      </c>
      <c r="K385" s="147"/>
      <c r="L385" s="2"/>
      <c r="M385" s="1"/>
      <c r="N385" s="1"/>
      <c r="O385" s="1"/>
    </row>
    <row x14ac:dyDescent="0.25" r="386" customHeight="1" ht="18.75" hidden="1">
      <c r="A386" s="65" t="s">
        <v>36</v>
      </c>
      <c r="B386" s="147" t="s">
        <v>495</v>
      </c>
      <c r="C386" s="66">
        <v>11956078403</v>
      </c>
      <c r="D386" s="66">
        <v>1</v>
      </c>
      <c r="E386" s="147" t="s">
        <v>183</v>
      </c>
      <c r="F386" s="96">
        <f>VLOOKUP(E386,CONFIGURAÇÃO!E:F,2,0)</f>
      </c>
      <c r="G386" s="147" t="s">
        <v>13</v>
      </c>
      <c r="H386" s="96">
        <f>IF(G386="CORTESIA",0,D386*F386)</f>
      </c>
      <c r="I386" s="147" t="s">
        <v>50</v>
      </c>
      <c r="J386" s="147" t="s">
        <v>74</v>
      </c>
      <c r="K386" s="147"/>
      <c r="L386" s="2"/>
      <c r="M386" s="1"/>
      <c r="N386" s="1"/>
      <c r="O386" s="1"/>
    </row>
    <row x14ac:dyDescent="0.25" r="387" customHeight="1" ht="18.75" hidden="1">
      <c r="A387" s="65" t="s">
        <v>36</v>
      </c>
      <c r="B387" s="147" t="s">
        <v>485</v>
      </c>
      <c r="C387" s="66">
        <v>11974899127</v>
      </c>
      <c r="D387" s="66">
        <v>1</v>
      </c>
      <c r="E387" s="147" t="s">
        <v>183</v>
      </c>
      <c r="F387" s="96">
        <f>VLOOKUP(E387,CONFIGURAÇÃO!E:F,2,0)</f>
      </c>
      <c r="G387" s="147" t="s">
        <v>73</v>
      </c>
      <c r="H387" s="96">
        <f>IF(G387="CORTESIA",0,D387*F387)</f>
      </c>
      <c r="I387" s="147" t="s">
        <v>50</v>
      </c>
      <c r="J387" s="147" t="s">
        <v>74</v>
      </c>
      <c r="K387" s="147"/>
      <c r="L387" s="2"/>
      <c r="M387" s="1"/>
      <c r="N387" s="1"/>
      <c r="O387" s="1"/>
    </row>
    <row x14ac:dyDescent="0.25" r="388" customHeight="1" ht="18.75" hidden="1">
      <c r="A388" s="65" t="s">
        <v>38</v>
      </c>
      <c r="B388" s="147" t="s">
        <v>487</v>
      </c>
      <c r="C388" s="66">
        <v>11963533408</v>
      </c>
      <c r="D388" s="66">
        <v>1</v>
      </c>
      <c r="E388" s="147" t="s">
        <v>78</v>
      </c>
      <c r="F388" s="96">
        <f>VLOOKUP(E388,CONFIGURAÇÃO!E:F,2,0)</f>
      </c>
      <c r="G388" s="147" t="s">
        <v>13</v>
      </c>
      <c r="H388" s="96">
        <f>IF(G388="CORTESIA",0,D388*F388)</f>
      </c>
      <c r="I388" s="147" t="s">
        <v>50</v>
      </c>
      <c r="J388" s="147" t="s">
        <v>74</v>
      </c>
      <c r="K388" s="147"/>
      <c r="L388" s="2"/>
      <c r="M388" s="1"/>
      <c r="N388" s="1"/>
      <c r="O388" s="1"/>
    </row>
    <row x14ac:dyDescent="0.25" r="389" customHeight="1" ht="18.75" hidden="1">
      <c r="A389" s="65" t="s">
        <v>38</v>
      </c>
      <c r="B389" s="147" t="s">
        <v>477</v>
      </c>
      <c r="C389" s="66">
        <v>11948155260</v>
      </c>
      <c r="D389" s="66">
        <v>1</v>
      </c>
      <c r="E389" s="147" t="s">
        <v>78</v>
      </c>
      <c r="F389" s="96">
        <f>VLOOKUP(E389,CONFIGURAÇÃO!E:F,2,0)</f>
      </c>
      <c r="G389" s="147" t="s">
        <v>13</v>
      </c>
      <c r="H389" s="96">
        <f>IF(G389="CORTESIA",0,D389*F389)</f>
      </c>
      <c r="I389" s="147" t="s">
        <v>50</v>
      </c>
      <c r="J389" s="147" t="s">
        <v>74</v>
      </c>
      <c r="K389" s="147" t="s">
        <v>478</v>
      </c>
      <c r="L389" s="2"/>
      <c r="M389" s="1"/>
      <c r="N389" s="1"/>
      <c r="O389" s="1"/>
    </row>
    <row x14ac:dyDescent="0.25" r="390" customHeight="1" ht="18.75" hidden="1">
      <c r="A390" s="65" t="s">
        <v>38</v>
      </c>
      <c r="B390" s="147" t="s">
        <v>496</v>
      </c>
      <c r="C390" s="66">
        <v>11975644983</v>
      </c>
      <c r="D390" s="66">
        <v>1</v>
      </c>
      <c r="E390" s="147" t="s">
        <v>78</v>
      </c>
      <c r="F390" s="96">
        <f>VLOOKUP(E390,CONFIGURAÇÃO!E:F,2,0)</f>
      </c>
      <c r="G390" s="147" t="s">
        <v>13</v>
      </c>
      <c r="H390" s="96">
        <f>IF(G390="CORTESIA",0,D390*F390)</f>
      </c>
      <c r="I390" s="147" t="s">
        <v>50</v>
      </c>
      <c r="J390" s="147" t="s">
        <v>74</v>
      </c>
      <c r="K390" s="147"/>
      <c r="L390" s="2"/>
      <c r="M390" s="1"/>
      <c r="N390" s="1"/>
      <c r="O390" s="1"/>
    </row>
    <row x14ac:dyDescent="0.25" r="391" customHeight="1" ht="18.75" hidden="1">
      <c r="A391" s="65" t="s">
        <v>38</v>
      </c>
      <c r="B391" s="147" t="s">
        <v>386</v>
      </c>
      <c r="C391" s="66">
        <v>11999065685</v>
      </c>
      <c r="D391" s="66">
        <v>1</v>
      </c>
      <c r="E391" s="147" t="s">
        <v>78</v>
      </c>
      <c r="F391" s="96">
        <f>VLOOKUP(E391,CONFIGURAÇÃO!E:F,2,0)</f>
      </c>
      <c r="G391" s="147" t="s">
        <v>13</v>
      </c>
      <c r="H391" s="96">
        <f>IF(G391="CORTESIA",0,D391*F391)</f>
      </c>
      <c r="I391" s="147" t="s">
        <v>50</v>
      </c>
      <c r="J391" s="147" t="s">
        <v>74</v>
      </c>
      <c r="K391" s="147"/>
      <c r="L391" s="2"/>
      <c r="M391" s="1"/>
      <c r="N391" s="1"/>
      <c r="O391" s="1"/>
    </row>
    <row x14ac:dyDescent="0.25" r="392" customHeight="1" ht="18.75" hidden="1">
      <c r="A392" s="65" t="s">
        <v>38</v>
      </c>
      <c r="B392" s="147" t="s">
        <v>386</v>
      </c>
      <c r="C392" s="66">
        <v>11999065685</v>
      </c>
      <c r="D392" s="66">
        <v>1</v>
      </c>
      <c r="E392" s="147" t="s">
        <v>183</v>
      </c>
      <c r="F392" s="96">
        <f>VLOOKUP(E392,CONFIGURAÇÃO!E:F,2,0)</f>
      </c>
      <c r="G392" s="147" t="s">
        <v>13</v>
      </c>
      <c r="H392" s="96">
        <f>IF(G392="CORTESIA",0,D392*F392)</f>
      </c>
      <c r="I392" s="147" t="s">
        <v>50</v>
      </c>
      <c r="J392" s="147" t="s">
        <v>74</v>
      </c>
      <c r="K392" s="147"/>
      <c r="L392" s="2"/>
      <c r="M392" s="1"/>
      <c r="N392" s="1"/>
      <c r="O392" s="1"/>
    </row>
    <row x14ac:dyDescent="0.25" r="393" customHeight="1" ht="18.75" hidden="1">
      <c r="A393" s="65" t="s">
        <v>38</v>
      </c>
      <c r="B393" s="147" t="s">
        <v>462</v>
      </c>
      <c r="C393" s="66">
        <v>11939417996</v>
      </c>
      <c r="D393" s="66">
        <v>1</v>
      </c>
      <c r="E393" s="147" t="s">
        <v>183</v>
      </c>
      <c r="F393" s="96">
        <f>VLOOKUP(E393,CONFIGURAÇÃO!E:F,2,0)</f>
      </c>
      <c r="G393" s="147" t="s">
        <v>13</v>
      </c>
      <c r="H393" s="96">
        <f>IF(G393="CORTESIA",0,D393*F393)</f>
      </c>
      <c r="I393" s="147" t="s">
        <v>50</v>
      </c>
      <c r="J393" s="147" t="s">
        <v>74</v>
      </c>
      <c r="K393" s="147"/>
      <c r="L393" s="2"/>
      <c r="M393" s="1"/>
      <c r="N393" s="1"/>
      <c r="O393" s="1"/>
    </row>
    <row x14ac:dyDescent="0.25" r="394" customHeight="1" ht="18.75" hidden="1">
      <c r="A394" s="65" t="s">
        <v>38</v>
      </c>
      <c r="B394" s="147" t="s">
        <v>461</v>
      </c>
      <c r="C394" s="66">
        <v>11947131975</v>
      </c>
      <c r="D394" s="66">
        <v>2</v>
      </c>
      <c r="E394" s="147" t="s">
        <v>183</v>
      </c>
      <c r="F394" s="96">
        <f>VLOOKUP(E394,CONFIGURAÇÃO!E:F,2,0)</f>
      </c>
      <c r="G394" s="147" t="s">
        <v>13</v>
      </c>
      <c r="H394" s="96">
        <f>IF(G394="CORTESIA",0,D394*F394)</f>
      </c>
      <c r="I394" s="147" t="s">
        <v>50</v>
      </c>
      <c r="J394" s="147" t="s">
        <v>74</v>
      </c>
      <c r="K394" s="147"/>
      <c r="L394" s="2"/>
      <c r="M394" s="1"/>
      <c r="N394" s="1"/>
      <c r="O394" s="1"/>
    </row>
    <row x14ac:dyDescent="0.25" r="395" customHeight="1" ht="18.75" hidden="1">
      <c r="A395" s="65" t="s">
        <v>38</v>
      </c>
      <c r="B395" s="147" t="s">
        <v>474</v>
      </c>
      <c r="C395" s="66">
        <v>11971669969</v>
      </c>
      <c r="D395" s="66">
        <v>1</v>
      </c>
      <c r="E395" s="147" t="s">
        <v>183</v>
      </c>
      <c r="F395" s="96">
        <f>VLOOKUP(E395,CONFIGURAÇÃO!E:F,2,0)</f>
      </c>
      <c r="G395" s="147" t="s">
        <v>13</v>
      </c>
      <c r="H395" s="96">
        <f>IF(G395="CORTESIA",0,D395*F395)</f>
      </c>
      <c r="I395" s="147" t="s">
        <v>50</v>
      </c>
      <c r="J395" s="147" t="s">
        <v>74</v>
      </c>
      <c r="K395" s="147"/>
      <c r="L395" s="2"/>
      <c r="M395" s="1"/>
      <c r="N395" s="1"/>
      <c r="O395" s="1"/>
    </row>
    <row x14ac:dyDescent="0.25" r="396" customHeight="1" ht="18.75" hidden="1">
      <c r="A396" s="65" t="s">
        <v>38</v>
      </c>
      <c r="B396" s="147" t="s">
        <v>463</v>
      </c>
      <c r="C396" s="66">
        <v>11911771198</v>
      </c>
      <c r="D396" s="66">
        <v>1</v>
      </c>
      <c r="E396" s="147" t="s">
        <v>78</v>
      </c>
      <c r="F396" s="96">
        <f>VLOOKUP(E396,CONFIGURAÇÃO!E:F,2,0)</f>
      </c>
      <c r="G396" s="147" t="s">
        <v>73</v>
      </c>
      <c r="H396" s="96">
        <f>IF(G396="CORTESIA",0,D396*F396)+2</f>
      </c>
      <c r="I396" s="147" t="s">
        <v>50</v>
      </c>
      <c r="J396" s="147" t="s">
        <v>74</v>
      </c>
      <c r="K396" s="149" t="s">
        <v>497</v>
      </c>
      <c r="L396" s="2"/>
      <c r="M396" s="1"/>
      <c r="N396" s="1"/>
      <c r="O396" s="1"/>
    </row>
    <row x14ac:dyDescent="0.25" r="397" customHeight="1" ht="18.75" hidden="1">
      <c r="A397" s="65" t="s">
        <v>38</v>
      </c>
      <c r="B397" s="147" t="s">
        <v>470</v>
      </c>
      <c r="C397" s="66">
        <v>11910773358</v>
      </c>
      <c r="D397" s="66">
        <v>1</v>
      </c>
      <c r="E397" s="147" t="s">
        <v>183</v>
      </c>
      <c r="F397" s="96">
        <f>VLOOKUP(E397,CONFIGURAÇÃO!E:F,2,0)</f>
      </c>
      <c r="G397" s="147" t="s">
        <v>13</v>
      </c>
      <c r="H397" s="96">
        <f>IF(G397="CORTESIA",0,D397*F397)</f>
      </c>
      <c r="I397" s="147" t="s">
        <v>50</v>
      </c>
      <c r="J397" s="147" t="s">
        <v>74</v>
      </c>
      <c r="K397" s="147"/>
      <c r="L397" s="2"/>
      <c r="M397" s="1"/>
      <c r="N397" s="1"/>
      <c r="O397" s="1"/>
    </row>
    <row x14ac:dyDescent="0.25" r="398" customHeight="1" ht="18.75" hidden="1">
      <c r="A398" s="65" t="s">
        <v>38</v>
      </c>
      <c r="B398" s="147" t="s">
        <v>321</v>
      </c>
      <c r="C398" s="66">
        <v>11968281220</v>
      </c>
      <c r="D398" s="66">
        <v>2</v>
      </c>
      <c r="E398" s="147" t="s">
        <v>183</v>
      </c>
      <c r="F398" s="96">
        <f>VLOOKUP(E398,CONFIGURAÇÃO!E:F,2,0)</f>
      </c>
      <c r="G398" s="147" t="s">
        <v>13</v>
      </c>
      <c r="H398" s="96">
        <f>IF(G398="CORTESIA",0,D398*F398)</f>
      </c>
      <c r="I398" s="147" t="s">
        <v>50</v>
      </c>
      <c r="J398" s="147" t="s">
        <v>74</v>
      </c>
      <c r="K398" s="147"/>
      <c r="L398" s="2"/>
      <c r="M398" s="1"/>
      <c r="N398" s="1"/>
      <c r="O398" s="1"/>
    </row>
    <row x14ac:dyDescent="0.25" r="399" customHeight="1" ht="18.75" hidden="1">
      <c r="A399" s="65" t="s">
        <v>38</v>
      </c>
      <c r="B399" s="147" t="s">
        <v>477</v>
      </c>
      <c r="C399" s="66">
        <v>11948155260</v>
      </c>
      <c r="D399" s="66">
        <v>1</v>
      </c>
      <c r="E399" s="147" t="s">
        <v>78</v>
      </c>
      <c r="F399" s="96">
        <f>VLOOKUP(E399,CONFIGURAÇÃO!E:F,2,0)</f>
      </c>
      <c r="G399" s="147" t="s">
        <v>13</v>
      </c>
      <c r="H399" s="96">
        <f>IF(G399="CORTESIA",0,D399*F399)</f>
      </c>
      <c r="I399" s="147" t="s">
        <v>50</v>
      </c>
      <c r="J399" s="147" t="s">
        <v>74</v>
      </c>
      <c r="K399" s="147" t="s">
        <v>478</v>
      </c>
      <c r="L399" s="2"/>
      <c r="M399" s="1"/>
      <c r="N399" s="1"/>
      <c r="O399" s="1"/>
    </row>
    <row x14ac:dyDescent="0.25" r="400" customHeight="1" ht="18.75" hidden="1">
      <c r="A400" s="65" t="s">
        <v>38</v>
      </c>
      <c r="B400" s="147" t="s">
        <v>343</v>
      </c>
      <c r="C400" s="66">
        <v>11982076672</v>
      </c>
      <c r="D400" s="66">
        <v>2</v>
      </c>
      <c r="E400" s="147" t="s">
        <v>78</v>
      </c>
      <c r="F400" s="96">
        <f>VLOOKUP(E400,CONFIGURAÇÃO!E:F,2,0)</f>
      </c>
      <c r="G400" s="147" t="s">
        <v>13</v>
      </c>
      <c r="H400" s="96">
        <f>IF(G400="CORTESIA",0,D400*F400)</f>
      </c>
      <c r="I400" s="147" t="s">
        <v>50</v>
      </c>
      <c r="J400" s="147" t="s">
        <v>74</v>
      </c>
      <c r="K400" s="147" t="s">
        <v>469</v>
      </c>
      <c r="L400" s="2"/>
      <c r="M400" s="1"/>
      <c r="N400" s="1"/>
      <c r="O400" s="1"/>
    </row>
    <row x14ac:dyDescent="0.25" r="401" customHeight="1" ht="18.75" hidden="1">
      <c r="A401" s="65" t="s">
        <v>38</v>
      </c>
      <c r="B401" s="147" t="s">
        <v>498</v>
      </c>
      <c r="C401" s="66">
        <v>11951295931</v>
      </c>
      <c r="D401" s="66">
        <v>1</v>
      </c>
      <c r="E401" s="147" t="s">
        <v>183</v>
      </c>
      <c r="F401" s="96">
        <f>VLOOKUP(E401,CONFIGURAÇÃO!E:F,2,0)</f>
      </c>
      <c r="G401" s="147" t="s">
        <v>73</v>
      </c>
      <c r="H401" s="96">
        <f>IF(G401="CORTESIA",0,D401*F401)</f>
      </c>
      <c r="I401" s="147" t="s">
        <v>50</v>
      </c>
      <c r="J401" s="147" t="s">
        <v>74</v>
      </c>
      <c r="K401" s="149" t="s">
        <v>428</v>
      </c>
      <c r="L401" s="2"/>
      <c r="M401" s="1"/>
      <c r="N401" s="1"/>
      <c r="O401" s="1"/>
    </row>
    <row x14ac:dyDescent="0.25" r="402" customHeight="1" ht="18.75" hidden="1">
      <c r="A402" s="65" t="s">
        <v>38</v>
      </c>
      <c r="B402" s="147" t="s">
        <v>462</v>
      </c>
      <c r="C402" s="66">
        <v>11939417996</v>
      </c>
      <c r="D402" s="66">
        <v>1</v>
      </c>
      <c r="E402" s="147" t="s">
        <v>78</v>
      </c>
      <c r="F402" s="96">
        <f>VLOOKUP(E402,CONFIGURAÇÃO!E:F,2,0)</f>
      </c>
      <c r="G402" s="147" t="s">
        <v>13</v>
      </c>
      <c r="H402" s="96">
        <f>IF(G402="CORTESIA",0,D402*F402)</f>
      </c>
      <c r="I402" s="147" t="s">
        <v>50</v>
      </c>
      <c r="J402" s="147" t="s">
        <v>74</v>
      </c>
      <c r="K402" s="147"/>
      <c r="L402" s="2"/>
      <c r="M402" s="1"/>
      <c r="N402" s="1"/>
      <c r="O402" s="1"/>
    </row>
    <row x14ac:dyDescent="0.25" r="403" customHeight="1" ht="18.75" hidden="1">
      <c r="A403" s="65" t="s">
        <v>38</v>
      </c>
      <c r="B403" s="147" t="s">
        <v>461</v>
      </c>
      <c r="C403" s="66">
        <v>11947131975</v>
      </c>
      <c r="D403" s="66">
        <v>1</v>
      </c>
      <c r="E403" s="147" t="s">
        <v>78</v>
      </c>
      <c r="F403" s="96">
        <f>VLOOKUP(E403,CONFIGURAÇÃO!E:F,2,0)</f>
      </c>
      <c r="G403" s="147" t="s">
        <v>13</v>
      </c>
      <c r="H403" s="96">
        <f>IF(G403="CORTESIA",0,D403*F403)</f>
      </c>
      <c r="I403" s="147" t="s">
        <v>50</v>
      </c>
      <c r="J403" s="147" t="s">
        <v>74</v>
      </c>
      <c r="K403" s="147"/>
      <c r="L403" s="2"/>
      <c r="M403" s="1"/>
      <c r="N403" s="1"/>
      <c r="O403" s="1"/>
    </row>
    <row x14ac:dyDescent="0.25" r="404" customHeight="1" ht="18.75" hidden="1">
      <c r="A404" s="65" t="s">
        <v>38</v>
      </c>
      <c r="B404" s="147" t="s">
        <v>208</v>
      </c>
      <c r="C404" s="66">
        <v>11948814368</v>
      </c>
      <c r="D404" s="66">
        <v>1</v>
      </c>
      <c r="E404" s="147" t="s">
        <v>78</v>
      </c>
      <c r="F404" s="96">
        <f>VLOOKUP(E404,CONFIGURAÇÃO!E:F,2,0)</f>
      </c>
      <c r="G404" s="147" t="s">
        <v>13</v>
      </c>
      <c r="H404" s="96">
        <f>IF(G404="CORTESIA",0,D404*F404)</f>
      </c>
      <c r="I404" s="147" t="s">
        <v>50</v>
      </c>
      <c r="J404" s="147" t="s">
        <v>74</v>
      </c>
      <c r="K404" s="147"/>
      <c r="L404" s="2"/>
      <c r="M404" s="1"/>
      <c r="N404" s="1"/>
      <c r="O404" s="1"/>
    </row>
    <row x14ac:dyDescent="0.25" r="405" customHeight="1" ht="18.75" hidden="1">
      <c r="A405" s="65" t="s">
        <v>38</v>
      </c>
      <c r="B405" s="147" t="s">
        <v>284</v>
      </c>
      <c r="C405" s="66">
        <v>11934895406</v>
      </c>
      <c r="D405" s="66">
        <v>2</v>
      </c>
      <c r="E405" s="147" t="s">
        <v>78</v>
      </c>
      <c r="F405" s="96">
        <f>VLOOKUP(E405,CONFIGURAÇÃO!E:F,2,0)</f>
      </c>
      <c r="G405" s="147" t="s">
        <v>13</v>
      </c>
      <c r="H405" s="96">
        <f>IF(G405="CORTESIA",0,D405*F405)</f>
      </c>
      <c r="I405" s="147" t="s">
        <v>50</v>
      </c>
      <c r="J405" s="147" t="s">
        <v>74</v>
      </c>
      <c r="K405" s="147"/>
      <c r="L405" s="2"/>
      <c r="M405" s="1"/>
      <c r="N405" s="1"/>
      <c r="O405" s="1"/>
    </row>
    <row x14ac:dyDescent="0.25" r="406" customHeight="1" ht="18.75" hidden="1">
      <c r="A406" s="65" t="s">
        <v>38</v>
      </c>
      <c r="B406" s="147" t="s">
        <v>465</v>
      </c>
      <c r="C406" s="66">
        <v>11961005168</v>
      </c>
      <c r="D406" s="66">
        <v>1</v>
      </c>
      <c r="E406" s="147" t="s">
        <v>78</v>
      </c>
      <c r="F406" s="96">
        <f>VLOOKUP(E406,CONFIGURAÇÃO!E:F,2,0)</f>
      </c>
      <c r="G406" s="147" t="s">
        <v>20</v>
      </c>
      <c r="H406" s="96">
        <f>IF(G406="CORTESIA",0,D406*F406)</f>
      </c>
      <c r="I406" s="147" t="s">
        <v>50</v>
      </c>
      <c r="J406" s="147" t="s">
        <v>74</v>
      </c>
      <c r="K406" s="147" t="s">
        <v>319</v>
      </c>
      <c r="L406" s="2"/>
      <c r="M406" s="1"/>
      <c r="N406" s="1"/>
      <c r="O406" s="1"/>
    </row>
    <row x14ac:dyDescent="0.25" r="407" customHeight="1" ht="18.75" hidden="1">
      <c r="A407" s="65" t="s">
        <v>38</v>
      </c>
      <c r="B407" s="147" t="s">
        <v>485</v>
      </c>
      <c r="C407" s="66">
        <v>11974899127</v>
      </c>
      <c r="D407" s="66">
        <v>1</v>
      </c>
      <c r="E407" s="147" t="s">
        <v>78</v>
      </c>
      <c r="F407" s="96">
        <f>VLOOKUP(E407,CONFIGURAÇÃO!E:F,2,0)</f>
      </c>
      <c r="G407" s="147" t="s">
        <v>73</v>
      </c>
      <c r="H407" s="96">
        <f>IF(G407="CORTESIA",0,D407*F407)</f>
      </c>
      <c r="I407" s="147" t="s">
        <v>50</v>
      </c>
      <c r="J407" s="147" t="s">
        <v>74</v>
      </c>
      <c r="K407" s="147"/>
      <c r="L407" s="2"/>
      <c r="M407" s="1"/>
      <c r="N407" s="1"/>
      <c r="O407" s="1"/>
    </row>
    <row x14ac:dyDescent="0.25" r="408" customHeight="1" ht="18.75" hidden="1">
      <c r="A408" s="65" t="s">
        <v>38</v>
      </c>
      <c r="B408" s="147" t="s">
        <v>357</v>
      </c>
      <c r="C408" s="66">
        <v>11977760176</v>
      </c>
      <c r="D408" s="66">
        <v>1</v>
      </c>
      <c r="E408" s="147" t="s">
        <v>78</v>
      </c>
      <c r="F408" s="96">
        <f>VLOOKUP(E408,CONFIGURAÇÃO!E:F,2,0)</f>
      </c>
      <c r="G408" s="147" t="s">
        <v>13</v>
      </c>
      <c r="H408" s="96">
        <f>IF(G408="CORTESIA",0,D408*F408)</f>
      </c>
      <c r="I408" s="147" t="s">
        <v>50</v>
      </c>
      <c r="J408" s="147" t="s">
        <v>74</v>
      </c>
      <c r="K408" s="147"/>
      <c r="L408" s="2"/>
      <c r="M408" s="1"/>
      <c r="N408" s="1"/>
      <c r="O408" s="1"/>
    </row>
    <row x14ac:dyDescent="0.25" r="409" customHeight="1" ht="18.75" hidden="1">
      <c r="A409" s="65" t="s">
        <v>38</v>
      </c>
      <c r="B409" s="147" t="s">
        <v>359</v>
      </c>
      <c r="C409" s="66">
        <v>11958246382</v>
      </c>
      <c r="D409" s="66">
        <v>1</v>
      </c>
      <c r="E409" s="147" t="s">
        <v>78</v>
      </c>
      <c r="F409" s="96">
        <f>VLOOKUP(E409,CONFIGURAÇÃO!E:F,2,0)</f>
      </c>
      <c r="G409" s="147" t="s">
        <v>13</v>
      </c>
      <c r="H409" s="96">
        <f>IF(G409="CORTESIA",0,D409*F409)</f>
      </c>
      <c r="I409" s="147" t="s">
        <v>50</v>
      </c>
      <c r="J409" s="147" t="s">
        <v>74</v>
      </c>
      <c r="K409" s="147" t="s">
        <v>393</v>
      </c>
      <c r="L409" s="2"/>
      <c r="M409" s="1"/>
      <c r="N409" s="1"/>
      <c r="O409" s="1"/>
    </row>
    <row x14ac:dyDescent="0.25" r="410" customHeight="1" ht="18.75" hidden="1">
      <c r="A410" s="65" t="s">
        <v>38</v>
      </c>
      <c r="B410" s="147" t="s">
        <v>499</v>
      </c>
      <c r="C410" s="66">
        <v>11996629272</v>
      </c>
      <c r="D410" s="66">
        <v>1</v>
      </c>
      <c r="E410" s="147" t="s">
        <v>183</v>
      </c>
      <c r="F410" s="96">
        <f>VLOOKUP(E410,CONFIGURAÇÃO!E:F,2,0)</f>
      </c>
      <c r="G410" s="147" t="s">
        <v>13</v>
      </c>
      <c r="H410" s="96">
        <f>IF(G410="CORTESIA",0,D410*F410)</f>
      </c>
      <c r="I410" s="147" t="s">
        <v>50</v>
      </c>
      <c r="J410" s="147" t="s">
        <v>74</v>
      </c>
      <c r="K410" s="147"/>
      <c r="L410" s="2"/>
      <c r="M410" s="1"/>
      <c r="N410" s="1"/>
      <c r="O410" s="1"/>
    </row>
    <row x14ac:dyDescent="0.25" r="411" customHeight="1" ht="18.75" hidden="1">
      <c r="A411" s="65" t="s">
        <v>39</v>
      </c>
      <c r="B411" s="147" t="s">
        <v>357</v>
      </c>
      <c r="C411" s="66">
        <v>11977760176</v>
      </c>
      <c r="D411" s="66">
        <v>1</v>
      </c>
      <c r="E411" s="147" t="s">
        <v>78</v>
      </c>
      <c r="F411" s="96">
        <f>VLOOKUP(E411,CONFIGURAÇÃO!E:F,2,0)</f>
      </c>
      <c r="G411" s="147" t="s">
        <v>13</v>
      </c>
      <c r="H411" s="96">
        <f>IF(G411="CORTESIA",0,D411*F411)</f>
      </c>
      <c r="I411" s="147" t="s">
        <v>50</v>
      </c>
      <c r="J411" s="147" t="s">
        <v>74</v>
      </c>
      <c r="K411" s="147"/>
      <c r="L411" s="2"/>
      <c r="M411" s="1"/>
      <c r="N411" s="1"/>
      <c r="O411" s="1"/>
    </row>
    <row x14ac:dyDescent="0.25" r="412" customHeight="1" ht="18.75" hidden="1">
      <c r="A412" s="65" t="s">
        <v>39</v>
      </c>
      <c r="B412" s="147" t="s">
        <v>357</v>
      </c>
      <c r="C412" s="66">
        <v>11977760176</v>
      </c>
      <c r="D412" s="66">
        <v>1</v>
      </c>
      <c r="E412" s="147" t="s">
        <v>183</v>
      </c>
      <c r="F412" s="96">
        <f>VLOOKUP(E412,CONFIGURAÇÃO!E:F,2,0)</f>
      </c>
      <c r="G412" s="147" t="s">
        <v>13</v>
      </c>
      <c r="H412" s="96">
        <f>IF(G412="CORTESIA",0,D412*F412)</f>
      </c>
      <c r="I412" s="147" t="s">
        <v>50</v>
      </c>
      <c r="J412" s="147" t="s">
        <v>74</v>
      </c>
      <c r="K412" s="147"/>
      <c r="L412" s="2"/>
      <c r="M412" s="1"/>
      <c r="N412" s="1"/>
      <c r="O412" s="1"/>
    </row>
    <row x14ac:dyDescent="0.25" r="413" customHeight="1" ht="18.75" hidden="1">
      <c r="A413" s="65" t="s">
        <v>39</v>
      </c>
      <c r="B413" s="147" t="s">
        <v>300</v>
      </c>
      <c r="C413" s="66">
        <v>11970263134</v>
      </c>
      <c r="D413" s="66">
        <v>1</v>
      </c>
      <c r="E413" s="147" t="s">
        <v>78</v>
      </c>
      <c r="F413" s="96">
        <f>VLOOKUP(E413,CONFIGURAÇÃO!E:F,2,0)</f>
      </c>
      <c r="G413" s="147" t="s">
        <v>13</v>
      </c>
      <c r="H413" s="96">
        <f>IF(G413="CORTESIA",0,D413*F413)</f>
      </c>
      <c r="I413" s="147" t="s">
        <v>50</v>
      </c>
      <c r="J413" s="147" t="s">
        <v>74</v>
      </c>
      <c r="K413" s="147"/>
      <c r="L413" s="2"/>
      <c r="M413" s="1"/>
      <c r="N413" s="1"/>
      <c r="O413" s="1"/>
    </row>
    <row x14ac:dyDescent="0.25" r="414" customHeight="1" ht="18.75" hidden="1">
      <c r="A414" s="65" t="s">
        <v>39</v>
      </c>
      <c r="B414" s="147" t="s">
        <v>471</v>
      </c>
      <c r="C414" s="66">
        <v>11919941682</v>
      </c>
      <c r="D414" s="66">
        <v>1</v>
      </c>
      <c r="E414" s="147" t="s">
        <v>78</v>
      </c>
      <c r="F414" s="96">
        <f>VLOOKUP(E414,CONFIGURAÇÃO!E:F,2,0)</f>
      </c>
      <c r="G414" s="147" t="s">
        <v>73</v>
      </c>
      <c r="H414" s="96">
        <f>IF(G414="CORTESIA",0,D414*F414)</f>
      </c>
      <c r="I414" s="147" t="s">
        <v>50</v>
      </c>
      <c r="J414" s="147" t="s">
        <v>74</v>
      </c>
      <c r="K414" s="147"/>
      <c r="L414" s="2"/>
      <c r="M414" s="1"/>
      <c r="N414" s="1"/>
      <c r="O414" s="1"/>
    </row>
    <row x14ac:dyDescent="0.25" r="415" customHeight="1" ht="18.75" hidden="1">
      <c r="A415" s="65" t="s">
        <v>39</v>
      </c>
      <c r="B415" s="147" t="s">
        <v>471</v>
      </c>
      <c r="C415" s="66">
        <v>11919941682</v>
      </c>
      <c r="D415" s="66">
        <v>1</v>
      </c>
      <c r="E415" s="147" t="s">
        <v>183</v>
      </c>
      <c r="F415" s="96">
        <f>VLOOKUP(E415,CONFIGURAÇÃO!E:F,2,0)</f>
      </c>
      <c r="G415" s="147" t="s">
        <v>73</v>
      </c>
      <c r="H415" s="96">
        <f>IF(G415="CORTESIA",0,D415*F415)</f>
      </c>
      <c r="I415" s="147" t="s">
        <v>50</v>
      </c>
      <c r="J415" s="147" t="s">
        <v>74</v>
      </c>
      <c r="K415" s="147"/>
      <c r="L415" s="2"/>
      <c r="M415" s="1"/>
      <c r="N415" s="1"/>
      <c r="O415" s="1"/>
    </row>
    <row x14ac:dyDescent="0.25" r="416" customHeight="1" ht="18.75" hidden="1">
      <c r="A416" s="65" t="s">
        <v>39</v>
      </c>
      <c r="B416" s="147" t="s">
        <v>324</v>
      </c>
      <c r="C416" s="66">
        <v>11972383586</v>
      </c>
      <c r="D416" s="66">
        <v>1</v>
      </c>
      <c r="E416" s="147" t="s">
        <v>183</v>
      </c>
      <c r="F416" s="96">
        <f>VLOOKUP(E416,CONFIGURAÇÃO!E:F,2,0)</f>
      </c>
      <c r="G416" s="147" t="s">
        <v>13</v>
      </c>
      <c r="H416" s="96">
        <f>IF(G416="CORTESIA",0,D416*F416)</f>
      </c>
      <c r="I416" s="147" t="s">
        <v>50</v>
      </c>
      <c r="J416" s="147" t="s">
        <v>74</v>
      </c>
      <c r="K416" s="147"/>
      <c r="L416" s="2"/>
      <c r="M416" s="1"/>
      <c r="N416" s="1"/>
      <c r="O416" s="1"/>
    </row>
    <row x14ac:dyDescent="0.25" r="417" customHeight="1" ht="18.75" hidden="1">
      <c r="A417" s="65" t="s">
        <v>39</v>
      </c>
      <c r="B417" s="147" t="s">
        <v>500</v>
      </c>
      <c r="C417" s="66">
        <v>11948781222</v>
      </c>
      <c r="D417" s="66">
        <v>1</v>
      </c>
      <c r="E417" s="147" t="s">
        <v>183</v>
      </c>
      <c r="F417" s="96">
        <f>VLOOKUP(E417,CONFIGURAÇÃO!E:F,2,0)</f>
      </c>
      <c r="G417" s="147" t="s">
        <v>13</v>
      </c>
      <c r="H417" s="96">
        <f>IF(G417="CORTESIA",0,D417*F417)</f>
      </c>
      <c r="I417" s="147" t="s">
        <v>50</v>
      </c>
      <c r="J417" s="147" t="s">
        <v>74</v>
      </c>
      <c r="K417" s="147"/>
      <c r="L417" s="2"/>
      <c r="M417" s="1"/>
      <c r="N417" s="1"/>
      <c r="O417" s="1"/>
    </row>
    <row x14ac:dyDescent="0.25" r="418" customHeight="1" ht="18.75" hidden="1">
      <c r="A418" s="65" t="s">
        <v>39</v>
      </c>
      <c r="B418" s="147" t="s">
        <v>501</v>
      </c>
      <c r="C418" s="66">
        <v>11997809762</v>
      </c>
      <c r="D418" s="66">
        <v>1</v>
      </c>
      <c r="E418" s="147" t="s">
        <v>78</v>
      </c>
      <c r="F418" s="96">
        <f>VLOOKUP(E418,CONFIGURAÇÃO!E:F,2,0)</f>
      </c>
      <c r="G418" s="147" t="s">
        <v>13</v>
      </c>
      <c r="H418" s="96">
        <f>IF(G418="CORTESIA",0,D418*F418)</f>
      </c>
      <c r="I418" s="147" t="s">
        <v>50</v>
      </c>
      <c r="J418" s="147" t="s">
        <v>74</v>
      </c>
      <c r="K418" s="147"/>
      <c r="L418" s="2"/>
      <c r="M418" s="1"/>
      <c r="N418" s="1"/>
      <c r="O418" s="1"/>
    </row>
    <row x14ac:dyDescent="0.25" r="419" customHeight="1" ht="18.75" hidden="1">
      <c r="A419" s="65" t="s">
        <v>39</v>
      </c>
      <c r="B419" s="147" t="s">
        <v>501</v>
      </c>
      <c r="C419" s="66">
        <v>11997809762</v>
      </c>
      <c r="D419" s="66">
        <v>2</v>
      </c>
      <c r="E419" s="147" t="s">
        <v>183</v>
      </c>
      <c r="F419" s="96">
        <f>VLOOKUP(E419,CONFIGURAÇÃO!E:F,2,0)</f>
      </c>
      <c r="G419" s="147" t="s">
        <v>13</v>
      </c>
      <c r="H419" s="96">
        <f>IF(G419="CORTESIA",0,D419*F419)</f>
      </c>
      <c r="I419" s="147" t="s">
        <v>50</v>
      </c>
      <c r="J419" s="147" t="s">
        <v>74</v>
      </c>
      <c r="K419" s="147"/>
      <c r="L419" s="2"/>
      <c r="M419" s="1"/>
      <c r="N419" s="1"/>
      <c r="O419" s="1"/>
    </row>
    <row x14ac:dyDescent="0.25" r="420" customHeight="1" ht="18.75" hidden="1">
      <c r="A420" s="65" t="s">
        <v>39</v>
      </c>
      <c r="B420" s="147" t="s">
        <v>494</v>
      </c>
      <c r="C420" s="66">
        <v>11957849656</v>
      </c>
      <c r="D420" s="66">
        <v>1</v>
      </c>
      <c r="E420" s="147" t="s">
        <v>78</v>
      </c>
      <c r="F420" s="96">
        <f>VLOOKUP(E420,CONFIGURAÇÃO!E:F,2,0)</f>
      </c>
      <c r="G420" s="147" t="s">
        <v>73</v>
      </c>
      <c r="H420" s="96">
        <f>IF(G420="CORTESIA",0,D420*F420)</f>
      </c>
      <c r="I420" s="147" t="s">
        <v>50</v>
      </c>
      <c r="J420" s="147" t="s">
        <v>74</v>
      </c>
      <c r="K420" s="147" t="s">
        <v>393</v>
      </c>
      <c r="L420" s="2"/>
      <c r="M420" s="1"/>
      <c r="N420" s="1"/>
      <c r="O420" s="1"/>
    </row>
    <row x14ac:dyDescent="0.25" r="421" customHeight="1" ht="18.75" hidden="1">
      <c r="A421" s="65" t="s">
        <v>39</v>
      </c>
      <c r="B421" s="147" t="s">
        <v>302</v>
      </c>
      <c r="C421" s="66">
        <v>11975037390</v>
      </c>
      <c r="D421" s="66">
        <v>1</v>
      </c>
      <c r="E421" s="147" t="s">
        <v>183</v>
      </c>
      <c r="F421" s="96">
        <f>VLOOKUP(E421,CONFIGURAÇÃO!E:F,2,0)</f>
      </c>
      <c r="G421" s="147" t="s">
        <v>73</v>
      </c>
      <c r="H421" s="96">
        <f>IF(G421="CORTESIA",0,D421*F421)</f>
      </c>
      <c r="I421" s="147" t="s">
        <v>50</v>
      </c>
      <c r="J421" s="147" t="s">
        <v>74</v>
      </c>
      <c r="K421" s="147" t="s">
        <v>393</v>
      </c>
      <c r="L421" s="2"/>
      <c r="M421" s="1"/>
      <c r="N421" s="1"/>
      <c r="O421" s="1"/>
    </row>
    <row x14ac:dyDescent="0.25" r="422" customHeight="1" ht="18.75" hidden="1">
      <c r="A422" s="65" t="s">
        <v>39</v>
      </c>
      <c r="B422" s="147" t="s">
        <v>470</v>
      </c>
      <c r="C422" s="66">
        <v>11910773358</v>
      </c>
      <c r="D422" s="66">
        <v>1</v>
      </c>
      <c r="E422" s="147" t="s">
        <v>78</v>
      </c>
      <c r="F422" s="96">
        <f>VLOOKUP(E422,CONFIGURAÇÃO!E:F,2,0)</f>
      </c>
      <c r="G422" s="147" t="s">
        <v>13</v>
      </c>
      <c r="H422" s="96">
        <f>IF(G422="CORTESIA",0,D422*F422)</f>
      </c>
      <c r="I422" s="147" t="s">
        <v>50</v>
      </c>
      <c r="J422" s="147" t="s">
        <v>74</v>
      </c>
      <c r="K422" s="147"/>
      <c r="L422" s="2"/>
      <c r="M422" s="1"/>
      <c r="N422" s="1"/>
      <c r="O422" s="1"/>
    </row>
    <row x14ac:dyDescent="0.25" r="423" customHeight="1" ht="18.75" hidden="1">
      <c r="A423" s="65" t="s">
        <v>39</v>
      </c>
      <c r="B423" s="147" t="s">
        <v>502</v>
      </c>
      <c r="C423" s="66">
        <v>11941701284</v>
      </c>
      <c r="D423" s="66">
        <v>1</v>
      </c>
      <c r="E423" s="147" t="s">
        <v>78</v>
      </c>
      <c r="F423" s="96">
        <f>VLOOKUP(E423,CONFIGURAÇÃO!E:F,2,0)</f>
      </c>
      <c r="G423" s="147" t="s">
        <v>73</v>
      </c>
      <c r="H423" s="96">
        <f>IF(G423="CORTESIA",0,D423*F423)</f>
      </c>
      <c r="I423" s="147" t="s">
        <v>50</v>
      </c>
      <c r="J423" s="147" t="s">
        <v>74</v>
      </c>
      <c r="K423" s="147" t="s">
        <v>393</v>
      </c>
      <c r="L423" s="2"/>
      <c r="M423" s="1"/>
      <c r="N423" s="1"/>
      <c r="O423" s="1"/>
    </row>
    <row x14ac:dyDescent="0.25" r="424" customHeight="1" ht="18.75" hidden="1">
      <c r="A424" s="65" t="s">
        <v>39</v>
      </c>
      <c r="B424" s="147" t="s">
        <v>424</v>
      </c>
      <c r="C424" s="66">
        <v>11932597821</v>
      </c>
      <c r="D424" s="66">
        <v>1</v>
      </c>
      <c r="E424" s="147" t="s">
        <v>78</v>
      </c>
      <c r="F424" s="96">
        <f>VLOOKUP(E424,CONFIGURAÇÃO!E:F,2,0)</f>
      </c>
      <c r="G424" s="147" t="s">
        <v>73</v>
      </c>
      <c r="H424" s="96">
        <f>IF(G424="CORTESIA",0,D424*F424)</f>
      </c>
      <c r="I424" s="147" t="s">
        <v>50</v>
      </c>
      <c r="J424" s="147" t="s">
        <v>74</v>
      </c>
      <c r="K424" s="147" t="s">
        <v>393</v>
      </c>
      <c r="L424" s="2"/>
      <c r="M424" s="1"/>
      <c r="N424" s="1"/>
      <c r="O424" s="1"/>
    </row>
    <row x14ac:dyDescent="0.25" r="425" customHeight="1" ht="18.75" hidden="1">
      <c r="A425" s="65" t="s">
        <v>41</v>
      </c>
      <c r="B425" s="147" t="s">
        <v>324</v>
      </c>
      <c r="C425" s="66">
        <v>11972383586</v>
      </c>
      <c r="D425" s="66">
        <v>2</v>
      </c>
      <c r="E425" s="147" t="s">
        <v>433</v>
      </c>
      <c r="F425" s="96">
        <f>VLOOKUP(E425,CONFIGURAÇÃO!E:F,2,0)</f>
      </c>
      <c r="G425" s="147" t="s">
        <v>13</v>
      </c>
      <c r="H425" s="96">
        <f>IF(G425="CORTESIA",0,D425*F425)</f>
      </c>
      <c r="I425" s="147" t="s">
        <v>50</v>
      </c>
      <c r="J425" s="147" t="s">
        <v>74</v>
      </c>
      <c r="K425" s="147"/>
      <c r="L425" s="2"/>
      <c r="M425" s="1"/>
      <c r="N425" s="1"/>
      <c r="O425" s="1"/>
    </row>
    <row x14ac:dyDescent="0.25" r="426" customHeight="1" ht="18.75" hidden="1">
      <c r="A426" s="65" t="s">
        <v>41</v>
      </c>
      <c r="B426" s="147" t="s">
        <v>386</v>
      </c>
      <c r="C426" s="66">
        <v>11999065685</v>
      </c>
      <c r="D426" s="66">
        <v>2</v>
      </c>
      <c r="E426" s="147" t="s">
        <v>433</v>
      </c>
      <c r="F426" s="96">
        <f>VLOOKUP(E426,CONFIGURAÇÃO!E:F,2,0)</f>
      </c>
      <c r="G426" s="147" t="s">
        <v>13</v>
      </c>
      <c r="H426" s="96">
        <f>IF(G426="CORTESIA",0,D426*F426)</f>
      </c>
      <c r="I426" s="147" t="s">
        <v>50</v>
      </c>
      <c r="J426" s="147" t="s">
        <v>74</v>
      </c>
      <c r="K426" s="147"/>
      <c r="L426" s="2"/>
      <c r="M426" s="1"/>
      <c r="N426" s="1"/>
      <c r="O426" s="1"/>
    </row>
    <row x14ac:dyDescent="0.25" r="427" customHeight="1" ht="18.75" hidden="1">
      <c r="A427" s="65" t="s">
        <v>41</v>
      </c>
      <c r="B427" s="147" t="s">
        <v>364</v>
      </c>
      <c r="C427" s="66">
        <v>11956495142</v>
      </c>
      <c r="D427" s="66">
        <v>2</v>
      </c>
      <c r="E427" s="147" t="s">
        <v>433</v>
      </c>
      <c r="F427" s="96">
        <f>VLOOKUP(E427,CONFIGURAÇÃO!E:F,2,0)</f>
      </c>
      <c r="G427" s="147" t="s">
        <v>13</v>
      </c>
      <c r="H427" s="96">
        <f>IF(G427="CORTESIA",0,D427*F427)</f>
      </c>
      <c r="I427" s="147" t="s">
        <v>50</v>
      </c>
      <c r="J427" s="147" t="s">
        <v>74</v>
      </c>
      <c r="K427" s="147"/>
      <c r="L427" s="2"/>
      <c r="M427" s="1"/>
      <c r="N427" s="1"/>
      <c r="O427" s="1"/>
    </row>
    <row x14ac:dyDescent="0.25" r="428" customHeight="1" ht="18.75" hidden="1">
      <c r="A428" s="65" t="s">
        <v>41</v>
      </c>
      <c r="B428" s="147" t="s">
        <v>420</v>
      </c>
      <c r="C428" s="66">
        <v>11946028455</v>
      </c>
      <c r="D428" s="66">
        <v>2</v>
      </c>
      <c r="E428" s="147" t="s">
        <v>433</v>
      </c>
      <c r="F428" s="96">
        <f>VLOOKUP(E428,CONFIGURAÇÃO!E:F,2,0)</f>
      </c>
      <c r="G428" s="147" t="s">
        <v>73</v>
      </c>
      <c r="H428" s="96">
        <f>IF(G428="CORTESIA",0,D428*F428)</f>
      </c>
      <c r="I428" s="147" t="s">
        <v>50</v>
      </c>
      <c r="J428" s="147" t="s">
        <v>74</v>
      </c>
      <c r="K428" s="147" t="s">
        <v>393</v>
      </c>
      <c r="L428" s="2"/>
      <c r="M428" s="1"/>
      <c r="N428" s="1"/>
      <c r="O428" s="1"/>
    </row>
    <row x14ac:dyDescent="0.25" r="429" customHeight="1" ht="18.75" hidden="1">
      <c r="A429" s="65" t="s">
        <v>41</v>
      </c>
      <c r="B429" s="147" t="s">
        <v>502</v>
      </c>
      <c r="C429" s="66">
        <v>11941701284</v>
      </c>
      <c r="D429" s="66">
        <v>1</v>
      </c>
      <c r="E429" s="147" t="s">
        <v>72</v>
      </c>
      <c r="F429" s="96">
        <f>VLOOKUP(E429,CONFIGURAÇÃO!E:F,2,0)</f>
      </c>
      <c r="G429" s="147" t="s">
        <v>73</v>
      </c>
      <c r="H429" s="96">
        <f>IF(G429="CORTESIA",0,D429*F429)</f>
      </c>
      <c r="I429" s="147" t="s">
        <v>50</v>
      </c>
      <c r="J429" s="147" t="s">
        <v>74</v>
      </c>
      <c r="K429" s="147" t="s">
        <v>393</v>
      </c>
      <c r="L429" s="2"/>
      <c r="M429" s="1"/>
      <c r="N429" s="1"/>
      <c r="O429" s="1"/>
    </row>
    <row x14ac:dyDescent="0.25" r="430" customHeight="1" ht="18.75" hidden="1">
      <c r="A430" s="65" t="s">
        <v>41</v>
      </c>
      <c r="B430" s="147" t="s">
        <v>218</v>
      </c>
      <c r="C430" s="66">
        <v>11997414630</v>
      </c>
      <c r="D430" s="66">
        <v>2</v>
      </c>
      <c r="E430" s="147" t="s">
        <v>433</v>
      </c>
      <c r="F430" s="96">
        <f>VLOOKUP(E430,CONFIGURAÇÃO!E:F,2,0)</f>
      </c>
      <c r="G430" s="147" t="s">
        <v>13</v>
      </c>
      <c r="H430" s="96">
        <f>IF(G430="CORTESIA",0,D430*F430)</f>
      </c>
      <c r="I430" s="147" t="s">
        <v>50</v>
      </c>
      <c r="J430" s="147" t="s">
        <v>74</v>
      </c>
      <c r="K430" s="147"/>
      <c r="L430" s="2"/>
      <c r="M430" s="1"/>
      <c r="N430" s="1"/>
      <c r="O430" s="1"/>
    </row>
    <row x14ac:dyDescent="0.25" r="431" customHeight="1" ht="18.75" hidden="1">
      <c r="A431" s="65" t="s">
        <v>41</v>
      </c>
      <c r="B431" s="147" t="s">
        <v>218</v>
      </c>
      <c r="C431" s="66">
        <v>11997414630</v>
      </c>
      <c r="D431" s="66">
        <v>1</v>
      </c>
      <c r="E431" s="147" t="s">
        <v>72</v>
      </c>
      <c r="F431" s="96">
        <f>VLOOKUP(E431,CONFIGURAÇÃO!E:F,2,0)</f>
      </c>
      <c r="G431" s="147" t="s">
        <v>13</v>
      </c>
      <c r="H431" s="96">
        <f>IF(G431="CORTESIA",0,D431*F431)</f>
      </c>
      <c r="I431" s="147" t="s">
        <v>50</v>
      </c>
      <c r="J431" s="147" t="s">
        <v>74</v>
      </c>
      <c r="K431" s="147"/>
      <c r="L431" s="2"/>
      <c r="M431" s="1"/>
      <c r="N431" s="1"/>
      <c r="O431" s="1"/>
    </row>
    <row x14ac:dyDescent="0.25" r="432" customHeight="1" ht="18.75" hidden="1">
      <c r="A432" s="65" t="s">
        <v>41</v>
      </c>
      <c r="B432" s="147" t="s">
        <v>356</v>
      </c>
      <c r="C432" s="66">
        <v>11966056200</v>
      </c>
      <c r="D432" s="66">
        <v>2</v>
      </c>
      <c r="E432" s="147" t="s">
        <v>433</v>
      </c>
      <c r="F432" s="96">
        <f>VLOOKUP(E432,CONFIGURAÇÃO!E:F,2,0)</f>
      </c>
      <c r="G432" s="147" t="s">
        <v>13</v>
      </c>
      <c r="H432" s="96">
        <f>IF(G432="CORTESIA",0,D432*F432)</f>
      </c>
      <c r="I432" s="147" t="s">
        <v>50</v>
      </c>
      <c r="J432" s="147" t="s">
        <v>74</v>
      </c>
      <c r="K432" s="147"/>
      <c r="L432" s="2"/>
      <c r="M432" s="1"/>
      <c r="N432" s="1"/>
      <c r="O432" s="1"/>
    </row>
    <row x14ac:dyDescent="0.25" r="433" customHeight="1" ht="18.75" hidden="1">
      <c r="A433" s="65" t="s">
        <v>41</v>
      </c>
      <c r="B433" s="147" t="s">
        <v>345</v>
      </c>
      <c r="C433" s="66">
        <v>11986264407</v>
      </c>
      <c r="D433" s="66">
        <v>1</v>
      </c>
      <c r="E433" s="147" t="s">
        <v>433</v>
      </c>
      <c r="F433" s="96">
        <f>VLOOKUP(E433,CONFIGURAÇÃO!E:F,2,0)</f>
      </c>
      <c r="G433" s="147" t="s">
        <v>73</v>
      </c>
      <c r="H433" s="96">
        <f>IF(G433="CORTESIA",0,D433*F433)</f>
      </c>
      <c r="I433" s="147" t="s">
        <v>50</v>
      </c>
      <c r="J433" s="147" t="s">
        <v>74</v>
      </c>
      <c r="K433" s="147"/>
      <c r="L433" s="2"/>
      <c r="M433" s="1"/>
      <c r="N433" s="1"/>
      <c r="O433" s="1"/>
    </row>
    <row x14ac:dyDescent="0.25" r="434" customHeight="1" ht="18.75" hidden="1">
      <c r="A434" s="65" t="s">
        <v>41</v>
      </c>
      <c r="B434" s="147" t="s">
        <v>503</v>
      </c>
      <c r="C434" s="66">
        <v>11997904621</v>
      </c>
      <c r="D434" s="66">
        <v>1</v>
      </c>
      <c r="E434" s="147" t="s">
        <v>72</v>
      </c>
      <c r="F434" s="96">
        <f>VLOOKUP(E434,CONFIGURAÇÃO!E:F,2,0)</f>
      </c>
      <c r="G434" s="147" t="s">
        <v>13</v>
      </c>
      <c r="H434" s="96">
        <f>IF(G434="CORTESIA",0,D434*F434)</f>
      </c>
      <c r="I434" s="147" t="s">
        <v>50</v>
      </c>
      <c r="J434" s="147" t="s">
        <v>74</v>
      </c>
      <c r="K434" s="147"/>
      <c r="L434" s="2"/>
      <c r="M434" s="1"/>
      <c r="N434" s="1"/>
      <c r="O434" s="1"/>
    </row>
    <row x14ac:dyDescent="0.25" r="435" customHeight="1" ht="18.75" hidden="1">
      <c r="A435" s="65" t="s">
        <v>41</v>
      </c>
      <c r="B435" s="147" t="s">
        <v>260</v>
      </c>
      <c r="C435" s="66">
        <v>11911374811</v>
      </c>
      <c r="D435" s="66">
        <v>1</v>
      </c>
      <c r="E435" s="147" t="s">
        <v>72</v>
      </c>
      <c r="F435" s="96">
        <f>VLOOKUP(E435,CONFIGURAÇÃO!E:F,2,0)</f>
      </c>
      <c r="G435" s="147" t="s">
        <v>13</v>
      </c>
      <c r="H435" s="96">
        <f>IF(G435="CORTESIA",0,D435*F435)</f>
      </c>
      <c r="I435" s="147" t="s">
        <v>50</v>
      </c>
      <c r="J435" s="147" t="s">
        <v>74</v>
      </c>
      <c r="K435" s="147"/>
      <c r="L435" s="2"/>
      <c r="M435" s="1"/>
      <c r="N435" s="1"/>
      <c r="O435" s="1"/>
    </row>
    <row x14ac:dyDescent="0.25" r="436" customHeight="1" ht="18.75" hidden="1">
      <c r="A436" s="65" t="s">
        <v>41</v>
      </c>
      <c r="B436" s="147" t="s">
        <v>443</v>
      </c>
      <c r="C436" s="66">
        <v>11933819477</v>
      </c>
      <c r="D436" s="66">
        <v>2</v>
      </c>
      <c r="E436" s="147" t="s">
        <v>433</v>
      </c>
      <c r="F436" s="96">
        <f>VLOOKUP(E436,CONFIGURAÇÃO!E:F,2,0)</f>
      </c>
      <c r="G436" s="147" t="s">
        <v>13</v>
      </c>
      <c r="H436" s="96">
        <f>IF(G436="CORTESIA",0,D436*F436)</f>
      </c>
      <c r="I436" s="147" t="s">
        <v>50</v>
      </c>
      <c r="J436" s="147" t="s">
        <v>74</v>
      </c>
      <c r="K436" s="147"/>
      <c r="L436" s="2"/>
      <c r="M436" s="1"/>
      <c r="N436" s="1"/>
      <c r="O436" s="1"/>
    </row>
    <row x14ac:dyDescent="0.25" r="437" customHeight="1" ht="18.75" hidden="1">
      <c r="A437" s="65" t="s">
        <v>41</v>
      </c>
      <c r="B437" s="147" t="s">
        <v>293</v>
      </c>
      <c r="C437" s="66">
        <v>11959072761</v>
      </c>
      <c r="D437" s="66">
        <v>1</v>
      </c>
      <c r="E437" s="147" t="s">
        <v>72</v>
      </c>
      <c r="F437" s="96">
        <f>VLOOKUP(E437,CONFIGURAÇÃO!E:F,2,0)</f>
      </c>
      <c r="G437" s="147" t="s">
        <v>13</v>
      </c>
      <c r="H437" s="96">
        <f>IF(G437="CORTESIA",0,D437*F437)</f>
      </c>
      <c r="I437" s="147" t="s">
        <v>50</v>
      </c>
      <c r="J437" s="147" t="s">
        <v>74</v>
      </c>
      <c r="K437" s="147"/>
      <c r="L437" s="2"/>
      <c r="M437" s="1"/>
      <c r="N437" s="1"/>
      <c r="O437" s="1"/>
    </row>
    <row x14ac:dyDescent="0.25" r="438" customHeight="1" ht="18.75" hidden="1">
      <c r="A438" s="65" t="s">
        <v>41</v>
      </c>
      <c r="B438" s="147" t="s">
        <v>471</v>
      </c>
      <c r="C438" s="66">
        <v>11919941682</v>
      </c>
      <c r="D438" s="66">
        <v>2</v>
      </c>
      <c r="E438" s="147" t="s">
        <v>433</v>
      </c>
      <c r="F438" s="96">
        <f>VLOOKUP(E438,CONFIGURAÇÃO!E:F,2,0)</f>
      </c>
      <c r="G438" s="147" t="s">
        <v>73</v>
      </c>
      <c r="H438" s="96">
        <f>IF(G438="CORTESIA",0,D438*F438)</f>
      </c>
      <c r="I438" s="147" t="s">
        <v>50</v>
      </c>
      <c r="J438" s="147" t="s">
        <v>74</v>
      </c>
      <c r="K438" s="147"/>
      <c r="L438" s="2"/>
      <c r="M438" s="1"/>
      <c r="N438" s="1"/>
      <c r="O438" s="1"/>
    </row>
    <row x14ac:dyDescent="0.25" r="439" customHeight="1" ht="18.75" hidden="1">
      <c r="A439" s="65" t="s">
        <v>41</v>
      </c>
      <c r="B439" s="147" t="s">
        <v>321</v>
      </c>
      <c r="C439" s="66">
        <v>11968281220</v>
      </c>
      <c r="D439" s="66">
        <v>2</v>
      </c>
      <c r="E439" s="147" t="s">
        <v>433</v>
      </c>
      <c r="F439" s="96">
        <f>VLOOKUP(E439,CONFIGURAÇÃO!E:F,2,0)</f>
      </c>
      <c r="G439" s="147" t="s">
        <v>13</v>
      </c>
      <c r="H439" s="96">
        <f>IF(G439="CORTESIA",0,D439*F439)</f>
      </c>
      <c r="I439" s="147" t="s">
        <v>50</v>
      </c>
      <c r="J439" s="147" t="s">
        <v>74</v>
      </c>
      <c r="K439" s="147"/>
      <c r="L439" s="2"/>
      <c r="M439" s="1"/>
      <c r="N439" s="1"/>
      <c r="O439" s="1"/>
    </row>
    <row x14ac:dyDescent="0.25" r="440" customHeight="1" ht="18.75" hidden="1">
      <c r="A440" s="65" t="s">
        <v>41</v>
      </c>
      <c r="B440" s="147" t="s">
        <v>366</v>
      </c>
      <c r="C440" s="66">
        <v>11913545093</v>
      </c>
      <c r="D440" s="66">
        <v>1</v>
      </c>
      <c r="E440" s="147" t="s">
        <v>72</v>
      </c>
      <c r="F440" s="96">
        <f>VLOOKUP(E440,CONFIGURAÇÃO!E:F,2,0)</f>
      </c>
      <c r="G440" s="147" t="s">
        <v>13</v>
      </c>
      <c r="H440" s="96">
        <f>IF(G440="CORTESIA",0,D440*F440)</f>
      </c>
      <c r="I440" s="147" t="s">
        <v>50</v>
      </c>
      <c r="J440" s="147" t="s">
        <v>74</v>
      </c>
      <c r="K440" s="147"/>
      <c r="L440" s="2"/>
      <c r="M440" s="1"/>
      <c r="N440" s="1"/>
      <c r="O440" s="1"/>
    </row>
    <row x14ac:dyDescent="0.25" r="441" customHeight="1" ht="18.75" hidden="1">
      <c r="A441" s="65" t="s">
        <v>41</v>
      </c>
      <c r="B441" s="147" t="s">
        <v>496</v>
      </c>
      <c r="C441" s="66">
        <v>11999807859</v>
      </c>
      <c r="D441" s="66">
        <v>1</v>
      </c>
      <c r="E441" s="147" t="s">
        <v>72</v>
      </c>
      <c r="F441" s="96">
        <f>VLOOKUP(E441,CONFIGURAÇÃO!E:F,2,0)</f>
      </c>
      <c r="G441" s="147" t="s">
        <v>13</v>
      </c>
      <c r="H441" s="96">
        <f>IF(G441="CORTESIA",0,D441*F441)</f>
      </c>
      <c r="I441" s="147" t="s">
        <v>50</v>
      </c>
      <c r="J441" s="147" t="s">
        <v>74</v>
      </c>
      <c r="K441" s="147"/>
      <c r="L441" s="2"/>
      <c r="M441" s="1"/>
      <c r="N441" s="1"/>
      <c r="O441" s="1"/>
    </row>
    <row x14ac:dyDescent="0.25" r="442" customHeight="1" ht="18.75" hidden="1">
      <c r="A442" s="65" t="s">
        <v>41</v>
      </c>
      <c r="B442" s="147" t="s">
        <v>246</v>
      </c>
      <c r="C442" s="66">
        <v>11947563854</v>
      </c>
      <c r="D442" s="66">
        <v>1</v>
      </c>
      <c r="E442" s="147" t="s">
        <v>72</v>
      </c>
      <c r="F442" s="96">
        <f>VLOOKUP(E442,CONFIGURAÇÃO!E:F,2,0)</f>
      </c>
      <c r="G442" s="147" t="s">
        <v>73</v>
      </c>
      <c r="H442" s="96">
        <f>IF(G442="CORTESIA",0,D442*F442)</f>
      </c>
      <c r="I442" s="147" t="s">
        <v>50</v>
      </c>
      <c r="J442" s="147" t="s">
        <v>74</v>
      </c>
      <c r="K442" s="147"/>
      <c r="L442" s="2"/>
      <c r="M442" s="1"/>
      <c r="N442" s="1"/>
      <c r="O442" s="1"/>
    </row>
    <row x14ac:dyDescent="0.25" r="443" customHeight="1" ht="18.75" hidden="1">
      <c r="A443" s="65" t="s">
        <v>41</v>
      </c>
      <c r="B443" s="147" t="s">
        <v>504</v>
      </c>
      <c r="C443" s="66">
        <v>11956078403</v>
      </c>
      <c r="D443" s="66">
        <v>1</v>
      </c>
      <c r="E443" s="147" t="s">
        <v>72</v>
      </c>
      <c r="F443" s="96">
        <f>VLOOKUP(E443,CONFIGURAÇÃO!E:F,2,0)</f>
      </c>
      <c r="G443" s="147" t="s">
        <v>73</v>
      </c>
      <c r="H443" s="96">
        <f>IF(G443="CORTESIA",0,D443*F443)</f>
      </c>
      <c r="I443" s="147" t="s">
        <v>50</v>
      </c>
      <c r="J443" s="147" t="s">
        <v>74</v>
      </c>
      <c r="K443" s="147"/>
      <c r="L443" s="2"/>
      <c r="M443" s="1"/>
      <c r="N443" s="1"/>
      <c r="O443" s="1"/>
    </row>
    <row x14ac:dyDescent="0.25" r="444" customHeight="1" ht="18.75" hidden="1">
      <c r="A444" s="65" t="s">
        <v>41</v>
      </c>
      <c r="B444" s="147" t="s">
        <v>231</v>
      </c>
      <c r="C444" s="66">
        <v>11974438009</v>
      </c>
      <c r="D444" s="66">
        <v>1</v>
      </c>
      <c r="E444" s="147" t="s">
        <v>72</v>
      </c>
      <c r="F444" s="96">
        <f>VLOOKUP(E444,CONFIGURAÇÃO!E:F,2,0)</f>
      </c>
      <c r="G444" s="147" t="s">
        <v>73</v>
      </c>
      <c r="H444" s="96">
        <f>IF(G444="CORTESIA",0,D444*F444)</f>
      </c>
      <c r="I444" s="147" t="s">
        <v>50</v>
      </c>
      <c r="J444" s="147" t="s">
        <v>74</v>
      </c>
      <c r="K444" s="147" t="s">
        <v>393</v>
      </c>
      <c r="L444" s="2"/>
      <c r="M444" s="1"/>
      <c r="N444" s="1"/>
      <c r="O444" s="1"/>
    </row>
    <row x14ac:dyDescent="0.25" r="445" customHeight="1" ht="18.75" hidden="1">
      <c r="A445" s="65" t="s">
        <v>41</v>
      </c>
      <c r="B445" s="147" t="s">
        <v>245</v>
      </c>
      <c r="C445" s="66">
        <v>11975763190</v>
      </c>
      <c r="D445" s="66">
        <v>1</v>
      </c>
      <c r="E445" s="147" t="s">
        <v>72</v>
      </c>
      <c r="F445" s="96">
        <f>VLOOKUP(E445,CONFIGURAÇÃO!E:F,2,0)</f>
      </c>
      <c r="G445" s="147" t="s">
        <v>13</v>
      </c>
      <c r="H445" s="96">
        <f>IF(G445="CORTESIA",0,D445*F445)</f>
      </c>
      <c r="I445" s="147" t="s">
        <v>50</v>
      </c>
      <c r="J445" s="147" t="s">
        <v>74</v>
      </c>
      <c r="K445" s="147"/>
      <c r="L445" s="2"/>
      <c r="M445" s="1"/>
      <c r="N445" s="1"/>
      <c r="O445" s="1"/>
    </row>
    <row x14ac:dyDescent="0.25" r="446" customHeight="1" ht="18.75" hidden="1">
      <c r="A446" s="65" t="s">
        <v>41</v>
      </c>
      <c r="B446" s="147" t="s">
        <v>494</v>
      </c>
      <c r="C446" s="66">
        <v>11957849656</v>
      </c>
      <c r="D446" s="66">
        <v>1</v>
      </c>
      <c r="E446" s="147" t="s">
        <v>72</v>
      </c>
      <c r="F446" s="96">
        <f>VLOOKUP(E446,CONFIGURAÇÃO!E:F,2,0)</f>
      </c>
      <c r="G446" s="147" t="s">
        <v>73</v>
      </c>
      <c r="H446" s="96">
        <f>IF(G446="CORTESIA",0,D446*F446)</f>
      </c>
      <c r="I446" s="147" t="s">
        <v>50</v>
      </c>
      <c r="J446" s="147" t="s">
        <v>74</v>
      </c>
      <c r="K446" s="147" t="s">
        <v>393</v>
      </c>
      <c r="L446" s="2"/>
      <c r="M446" s="1"/>
      <c r="N446" s="1"/>
      <c r="O446" s="1"/>
    </row>
    <row x14ac:dyDescent="0.25" r="447" customHeight="1" ht="18.75" hidden="1">
      <c r="A447" s="65" t="s">
        <v>41</v>
      </c>
      <c r="B447" s="147" t="s">
        <v>346</v>
      </c>
      <c r="C447" s="66">
        <v>11939297527</v>
      </c>
      <c r="D447" s="66">
        <v>2</v>
      </c>
      <c r="E447" s="147" t="s">
        <v>433</v>
      </c>
      <c r="F447" s="96">
        <f>VLOOKUP(E447,CONFIGURAÇÃO!E:F,2,0)</f>
      </c>
      <c r="G447" s="147" t="s">
        <v>13</v>
      </c>
      <c r="H447" s="96">
        <f>IF(G447="CORTESIA",0,D447*F447)</f>
      </c>
      <c r="I447" s="147" t="s">
        <v>50</v>
      </c>
      <c r="J447" s="147" t="s">
        <v>74</v>
      </c>
      <c r="K447" s="147"/>
      <c r="L447" s="2"/>
      <c r="M447" s="1"/>
      <c r="N447" s="1"/>
      <c r="O447" s="1"/>
    </row>
    <row x14ac:dyDescent="0.25" r="448" customHeight="1" ht="18.75" hidden="1">
      <c r="A448" s="65" t="s">
        <v>42</v>
      </c>
      <c r="B448" s="147" t="s">
        <v>505</v>
      </c>
      <c r="C448" s="66">
        <v>11986172881</v>
      </c>
      <c r="D448" s="66">
        <v>1</v>
      </c>
      <c r="E448" s="147" t="s">
        <v>171</v>
      </c>
      <c r="F448" s="96">
        <f>VLOOKUP(E448,CONFIGURAÇÃO!E:F,2,0)</f>
      </c>
      <c r="G448" s="147" t="s">
        <v>13</v>
      </c>
      <c r="H448" s="96">
        <f>IF(G448="CORTESIA",0,D448*F448)</f>
      </c>
      <c r="I448" s="147" t="s">
        <v>50</v>
      </c>
      <c r="J448" s="147" t="s">
        <v>74</v>
      </c>
      <c r="K448" s="147"/>
      <c r="L448" s="2"/>
      <c r="M448" s="1"/>
      <c r="N448" s="1"/>
      <c r="O448" s="1"/>
    </row>
    <row x14ac:dyDescent="0.25" r="449" customHeight="1" ht="18.75" hidden="1">
      <c r="A449" s="65" t="s">
        <v>42</v>
      </c>
      <c r="B449" s="147" t="s">
        <v>505</v>
      </c>
      <c r="C449" s="66">
        <v>11986172881</v>
      </c>
      <c r="D449" s="66">
        <v>1</v>
      </c>
      <c r="E449" s="147" t="s">
        <v>72</v>
      </c>
      <c r="F449" s="96">
        <f>VLOOKUP(E449,CONFIGURAÇÃO!E:F,2,0)</f>
      </c>
      <c r="G449" s="147" t="s">
        <v>13</v>
      </c>
      <c r="H449" s="96">
        <f>IF(G449="CORTESIA",0,D449*F449)</f>
      </c>
      <c r="I449" s="147" t="s">
        <v>50</v>
      </c>
      <c r="J449" s="147" t="s">
        <v>74</v>
      </c>
      <c r="K449" s="147"/>
      <c r="L449" s="2"/>
      <c r="M449" s="1"/>
      <c r="N449" s="1"/>
      <c r="O449" s="1"/>
    </row>
    <row x14ac:dyDescent="0.25" r="450" customHeight="1" ht="18.75" hidden="1">
      <c r="A450" s="65" t="s">
        <v>42</v>
      </c>
      <c r="B450" s="147" t="s">
        <v>474</v>
      </c>
      <c r="C450" s="66">
        <v>11971669969</v>
      </c>
      <c r="D450" s="66">
        <v>1</v>
      </c>
      <c r="E450" s="147" t="s">
        <v>72</v>
      </c>
      <c r="F450" s="96">
        <f>VLOOKUP(E450,CONFIGURAÇÃO!E:F,2,0)</f>
      </c>
      <c r="G450" s="147" t="s">
        <v>13</v>
      </c>
      <c r="H450" s="96">
        <f>IF(G450="CORTESIA",0,D450*F450)</f>
      </c>
      <c r="I450" s="147" t="s">
        <v>50</v>
      </c>
      <c r="J450" s="147" t="s">
        <v>74</v>
      </c>
      <c r="K450" s="147"/>
      <c r="L450" s="2"/>
      <c r="M450" s="1"/>
      <c r="N450" s="1"/>
      <c r="O450" s="1"/>
    </row>
    <row x14ac:dyDescent="0.25" r="451" customHeight="1" ht="18.75" hidden="1">
      <c r="A451" s="65" t="s">
        <v>42</v>
      </c>
      <c r="B451" s="147" t="s">
        <v>461</v>
      </c>
      <c r="C451" s="66">
        <v>11947131975</v>
      </c>
      <c r="D451" s="66">
        <v>2</v>
      </c>
      <c r="E451" s="147" t="s">
        <v>72</v>
      </c>
      <c r="F451" s="96">
        <f>VLOOKUP(E451,CONFIGURAÇÃO!E:F,2,0)</f>
      </c>
      <c r="G451" s="147" t="s">
        <v>13</v>
      </c>
      <c r="H451" s="96">
        <f>IF(G451="CORTESIA",0,D451*F451)</f>
      </c>
      <c r="I451" s="147" t="s">
        <v>50</v>
      </c>
      <c r="J451" s="147" t="s">
        <v>74</v>
      </c>
      <c r="K451" s="147"/>
      <c r="L451" s="2"/>
      <c r="M451" s="1"/>
      <c r="N451" s="1"/>
      <c r="O451" s="1"/>
    </row>
    <row x14ac:dyDescent="0.25" r="452" customHeight="1" ht="18.75" hidden="1">
      <c r="A452" s="65" t="s">
        <v>42</v>
      </c>
      <c r="B452" s="147" t="s">
        <v>461</v>
      </c>
      <c r="C452" s="66">
        <v>11947131975</v>
      </c>
      <c r="D452" s="66">
        <v>1</v>
      </c>
      <c r="E452" s="147" t="s">
        <v>183</v>
      </c>
      <c r="F452" s="96">
        <f>VLOOKUP(E452,CONFIGURAÇÃO!E:F,2,0)</f>
      </c>
      <c r="G452" s="147" t="s">
        <v>13</v>
      </c>
      <c r="H452" s="96">
        <f>IF(G452="CORTESIA",0,D452*F452)</f>
      </c>
      <c r="I452" s="147" t="s">
        <v>50</v>
      </c>
      <c r="J452" s="147" t="s">
        <v>74</v>
      </c>
      <c r="K452" s="147"/>
      <c r="L452" s="2"/>
      <c r="M452" s="1"/>
      <c r="N452" s="1"/>
      <c r="O452" s="1"/>
    </row>
    <row x14ac:dyDescent="0.25" r="453" customHeight="1" ht="18.75" hidden="1">
      <c r="A453" s="65" t="s">
        <v>42</v>
      </c>
      <c r="B453" s="147" t="s">
        <v>457</v>
      </c>
      <c r="C453" s="66">
        <v>11978361766</v>
      </c>
      <c r="D453" s="66">
        <v>2</v>
      </c>
      <c r="E453" s="147" t="s">
        <v>72</v>
      </c>
      <c r="F453" s="96">
        <f>VLOOKUP(E453,CONFIGURAÇÃO!E:F,2,0)</f>
      </c>
      <c r="G453" s="147" t="s">
        <v>13</v>
      </c>
      <c r="H453" s="96">
        <f>IF(G453="CORTESIA",0,D453*F453)</f>
      </c>
      <c r="I453" s="147" t="s">
        <v>50</v>
      </c>
      <c r="J453" s="147" t="s">
        <v>74</v>
      </c>
      <c r="K453" s="147"/>
      <c r="L453" s="2"/>
      <c r="M453" s="1"/>
      <c r="N453" s="1"/>
      <c r="O453" s="1"/>
    </row>
    <row x14ac:dyDescent="0.25" r="454" customHeight="1" ht="18.75" hidden="1">
      <c r="A454" s="65" t="s">
        <v>42</v>
      </c>
      <c r="B454" s="147" t="s">
        <v>468</v>
      </c>
      <c r="C454" s="66">
        <v>11990199277</v>
      </c>
      <c r="D454" s="66">
        <v>1</v>
      </c>
      <c r="E454" s="147" t="s">
        <v>72</v>
      </c>
      <c r="F454" s="96">
        <f>VLOOKUP(E454,CONFIGURAÇÃO!E:F,2,0)</f>
      </c>
      <c r="G454" s="147" t="s">
        <v>73</v>
      </c>
      <c r="H454" s="96">
        <f>IF(G454="CORTESIA",0,D454*F454)</f>
      </c>
      <c r="I454" s="147" t="s">
        <v>50</v>
      </c>
      <c r="J454" s="147" t="s">
        <v>74</v>
      </c>
      <c r="K454" s="147" t="s">
        <v>469</v>
      </c>
      <c r="L454" s="2"/>
      <c r="M454" s="1"/>
      <c r="N454" s="1"/>
      <c r="O454" s="1"/>
    </row>
    <row x14ac:dyDescent="0.25" r="455" customHeight="1" ht="18.75" hidden="1">
      <c r="A455" s="65" t="s">
        <v>42</v>
      </c>
      <c r="B455" s="147" t="s">
        <v>386</v>
      </c>
      <c r="C455" s="66">
        <v>11999065685</v>
      </c>
      <c r="D455" s="66">
        <v>1</v>
      </c>
      <c r="E455" s="147" t="s">
        <v>72</v>
      </c>
      <c r="F455" s="96">
        <f>VLOOKUP(E455,CONFIGURAÇÃO!E:F,2,0)</f>
      </c>
      <c r="G455" s="147" t="s">
        <v>13</v>
      </c>
      <c r="H455" s="96">
        <f>IF(G455="CORTESIA",0,D455*F455)</f>
      </c>
      <c r="I455" s="147" t="s">
        <v>50</v>
      </c>
      <c r="J455" s="147" t="s">
        <v>74</v>
      </c>
      <c r="K455" s="147"/>
      <c r="L455" s="2"/>
      <c r="M455" s="1"/>
      <c r="N455" s="1"/>
      <c r="O455" s="1"/>
    </row>
    <row x14ac:dyDescent="0.25" r="456" customHeight="1" ht="18.75" hidden="1">
      <c r="A456" s="65" t="s">
        <v>42</v>
      </c>
      <c r="B456" s="147" t="s">
        <v>459</v>
      </c>
      <c r="C456" s="66">
        <v>11945776448</v>
      </c>
      <c r="D456" s="66">
        <v>1</v>
      </c>
      <c r="E456" s="147" t="s">
        <v>72</v>
      </c>
      <c r="F456" s="96">
        <f>VLOOKUP(E456,CONFIGURAÇÃO!E:F,2,0)</f>
      </c>
      <c r="G456" s="147" t="s">
        <v>13</v>
      </c>
      <c r="H456" s="96">
        <f>IF(G456="CORTESIA",0,D456*F456)</f>
      </c>
      <c r="I456" s="147" t="s">
        <v>50</v>
      </c>
      <c r="J456" s="147" t="s">
        <v>74</v>
      </c>
      <c r="K456" s="147"/>
      <c r="L456" s="2"/>
      <c r="M456" s="1"/>
      <c r="N456" s="1"/>
      <c r="O456" s="1"/>
    </row>
    <row x14ac:dyDescent="0.25" r="457" customHeight="1" ht="18.75" hidden="1">
      <c r="A457" s="65" t="s">
        <v>42</v>
      </c>
      <c r="B457" s="147" t="s">
        <v>217</v>
      </c>
      <c r="C457" s="66">
        <v>11970355431</v>
      </c>
      <c r="D457" s="66">
        <v>1</v>
      </c>
      <c r="E457" s="147" t="s">
        <v>183</v>
      </c>
      <c r="F457" s="96">
        <f>VLOOKUP(E457,CONFIGURAÇÃO!E:F,2,0)</f>
      </c>
      <c r="G457" s="147" t="s">
        <v>73</v>
      </c>
      <c r="H457" s="96">
        <f>IF(G457="CORTESIA",0,D457*F457)</f>
      </c>
      <c r="I457" s="147" t="s">
        <v>50</v>
      </c>
      <c r="J457" s="147" t="s">
        <v>74</v>
      </c>
      <c r="K457" s="147" t="s">
        <v>393</v>
      </c>
      <c r="L457" s="2"/>
      <c r="M457" s="1"/>
      <c r="N457" s="1"/>
      <c r="O457" s="1"/>
    </row>
    <row x14ac:dyDescent="0.25" r="458" customHeight="1" ht="18.75" hidden="1">
      <c r="A458" s="65" t="s">
        <v>42</v>
      </c>
      <c r="B458" s="147" t="s">
        <v>395</v>
      </c>
      <c r="C458" s="66">
        <v>11981536575</v>
      </c>
      <c r="D458" s="66">
        <v>3</v>
      </c>
      <c r="E458" s="147" t="s">
        <v>72</v>
      </c>
      <c r="F458" s="96">
        <f>VLOOKUP(E458,CONFIGURAÇÃO!E:F,2,0)</f>
      </c>
      <c r="G458" s="147" t="s">
        <v>13</v>
      </c>
      <c r="H458" s="96">
        <f>IF(G458="CORTESIA",0,D458*F458)</f>
      </c>
      <c r="I458" s="147" t="s">
        <v>50</v>
      </c>
      <c r="J458" s="147" t="s">
        <v>74</v>
      </c>
      <c r="K458" s="147"/>
      <c r="L458" s="2"/>
      <c r="M458" s="1"/>
      <c r="N458" s="1"/>
      <c r="O458" s="1"/>
    </row>
    <row x14ac:dyDescent="0.25" r="459" customHeight="1" ht="18.75" hidden="1">
      <c r="A459" s="65" t="s">
        <v>42</v>
      </c>
      <c r="B459" s="147" t="s">
        <v>455</v>
      </c>
      <c r="C459" s="66">
        <v>11952831796</v>
      </c>
      <c r="D459" s="66">
        <v>3</v>
      </c>
      <c r="E459" s="147" t="s">
        <v>72</v>
      </c>
      <c r="F459" s="96">
        <f>VLOOKUP(E459,CONFIGURAÇÃO!E:F,2,0)</f>
      </c>
      <c r="G459" s="147" t="s">
        <v>13</v>
      </c>
      <c r="H459" s="96">
        <f>IF(G459="CORTESIA",0,D459*F459)</f>
      </c>
      <c r="I459" s="147" t="s">
        <v>50</v>
      </c>
      <c r="J459" s="147" t="s">
        <v>74</v>
      </c>
      <c r="K459" s="147"/>
      <c r="L459" s="2"/>
      <c r="M459" s="1"/>
      <c r="N459" s="1"/>
      <c r="O459" s="1"/>
    </row>
    <row x14ac:dyDescent="0.25" r="460" customHeight="1" ht="18.75" hidden="1">
      <c r="A460" s="65" t="s">
        <v>42</v>
      </c>
      <c r="B460" s="147" t="s">
        <v>358</v>
      </c>
      <c r="C460" s="66">
        <v>11950239369</v>
      </c>
      <c r="D460" s="66">
        <v>1</v>
      </c>
      <c r="E460" s="147" t="s">
        <v>72</v>
      </c>
      <c r="F460" s="96">
        <f>VLOOKUP(E460,CONFIGURAÇÃO!E:F,2,0)</f>
      </c>
      <c r="G460" s="147" t="s">
        <v>13</v>
      </c>
      <c r="H460" s="96">
        <f>IF(G460="CORTESIA",0,D460*F460)</f>
      </c>
      <c r="I460" s="147" t="s">
        <v>50</v>
      </c>
      <c r="J460" s="147" t="s">
        <v>74</v>
      </c>
      <c r="K460" s="147"/>
      <c r="L460" s="2"/>
      <c r="M460" s="1"/>
      <c r="N460" s="1"/>
      <c r="O460" s="1"/>
    </row>
    <row x14ac:dyDescent="0.25" r="461" customHeight="1" ht="18.75" hidden="1">
      <c r="A461" s="65" t="s">
        <v>42</v>
      </c>
      <c r="B461" s="147" t="s">
        <v>506</v>
      </c>
      <c r="C461" s="66">
        <v>11950633877</v>
      </c>
      <c r="D461" s="66">
        <v>1</v>
      </c>
      <c r="E461" s="147" t="s">
        <v>72</v>
      </c>
      <c r="F461" s="96">
        <f>VLOOKUP(E461,CONFIGURAÇÃO!E:F,2,0)</f>
      </c>
      <c r="G461" s="147" t="s">
        <v>73</v>
      </c>
      <c r="H461" s="96">
        <f>IF(G461="CORTESIA",0,D461*F461)</f>
      </c>
      <c r="I461" s="147" t="s">
        <v>50</v>
      </c>
      <c r="J461" s="147" t="s">
        <v>74</v>
      </c>
      <c r="K461" s="147" t="s">
        <v>393</v>
      </c>
      <c r="L461" s="2"/>
      <c r="M461" s="1"/>
      <c r="N461" s="1"/>
      <c r="O461" s="1"/>
    </row>
    <row x14ac:dyDescent="0.25" r="462" customHeight="1" ht="18.75" hidden="1">
      <c r="A462" s="65" t="s">
        <v>42</v>
      </c>
      <c r="B462" s="147" t="s">
        <v>199</v>
      </c>
      <c r="C462" s="66">
        <v>11937409836</v>
      </c>
      <c r="D462" s="66">
        <v>1</v>
      </c>
      <c r="E462" s="147" t="s">
        <v>72</v>
      </c>
      <c r="F462" s="96">
        <f>VLOOKUP(E462,CONFIGURAÇÃO!E:F,2,0)</f>
      </c>
      <c r="G462" s="147" t="s">
        <v>13</v>
      </c>
      <c r="H462" s="96">
        <f>IF(G462="CORTESIA",0,D462*F462)</f>
      </c>
      <c r="I462" s="147" t="s">
        <v>50</v>
      </c>
      <c r="J462" s="147" t="s">
        <v>74</v>
      </c>
      <c r="K462" s="147"/>
      <c r="L462" s="2"/>
      <c r="M462" s="1"/>
      <c r="N462" s="1"/>
      <c r="O462" s="1"/>
    </row>
    <row x14ac:dyDescent="0.25" r="463" customHeight="1" ht="18.75" hidden="1">
      <c r="A463" s="65" t="s">
        <v>42</v>
      </c>
      <c r="B463" s="147" t="s">
        <v>395</v>
      </c>
      <c r="C463" s="66">
        <v>11981536575</v>
      </c>
      <c r="D463" s="66">
        <v>1</v>
      </c>
      <c r="E463" s="147" t="s">
        <v>72</v>
      </c>
      <c r="F463" s="96">
        <f>VLOOKUP(E463,CONFIGURAÇÃO!E:F,2,0)</f>
      </c>
      <c r="G463" s="147" t="s">
        <v>13</v>
      </c>
      <c r="H463" s="96">
        <f>IF(G463="CORTESIA",0,D463*F463)</f>
      </c>
      <c r="I463" s="147" t="s">
        <v>50</v>
      </c>
      <c r="J463" s="147" t="s">
        <v>74</v>
      </c>
      <c r="K463" s="147"/>
      <c r="L463" s="2"/>
      <c r="M463" s="1"/>
      <c r="N463" s="1"/>
      <c r="O463" s="1"/>
    </row>
    <row x14ac:dyDescent="0.25" r="464" customHeight="1" ht="18.75" hidden="1">
      <c r="A464" s="65" t="s">
        <v>42</v>
      </c>
      <c r="B464" s="147" t="s">
        <v>284</v>
      </c>
      <c r="C464" s="66">
        <v>11934895406</v>
      </c>
      <c r="D464" s="66">
        <v>2</v>
      </c>
      <c r="E464" s="147" t="s">
        <v>72</v>
      </c>
      <c r="F464" s="96">
        <f>VLOOKUP(E464,CONFIGURAÇÃO!E:F,2,0)</f>
      </c>
      <c r="G464" s="147" t="s">
        <v>13</v>
      </c>
      <c r="H464" s="96">
        <f>IF(G464="CORTESIA",0,D464*F464)</f>
      </c>
      <c r="I464" s="147" t="s">
        <v>50</v>
      </c>
      <c r="J464" s="147" t="s">
        <v>74</v>
      </c>
      <c r="K464" s="147"/>
      <c r="L464" s="2"/>
      <c r="M464" s="1"/>
      <c r="N464" s="1"/>
      <c r="O464" s="1"/>
    </row>
    <row x14ac:dyDescent="0.25" r="465" customHeight="1" ht="18.75" hidden="1">
      <c r="A465" s="65" t="s">
        <v>42</v>
      </c>
      <c r="B465" s="147" t="s">
        <v>494</v>
      </c>
      <c r="C465" s="66">
        <v>11957849656</v>
      </c>
      <c r="D465" s="66">
        <v>1</v>
      </c>
      <c r="E465" s="147" t="s">
        <v>72</v>
      </c>
      <c r="F465" s="96">
        <f>VLOOKUP(E465,CONFIGURAÇÃO!E:F,2,0)</f>
      </c>
      <c r="G465" s="147" t="s">
        <v>73</v>
      </c>
      <c r="H465" s="96">
        <f>IF(G465="CORTESIA",0,D465*F465)</f>
      </c>
      <c r="I465" s="147" t="s">
        <v>50</v>
      </c>
      <c r="J465" s="147" t="s">
        <v>74</v>
      </c>
      <c r="K465" s="147" t="s">
        <v>393</v>
      </c>
      <c r="L465" s="2"/>
      <c r="M465" s="1"/>
      <c r="N465" s="1"/>
      <c r="O465" s="1"/>
    </row>
    <row x14ac:dyDescent="0.25" r="466" customHeight="1" ht="18.75" hidden="1">
      <c r="A466" s="65" t="s">
        <v>42</v>
      </c>
      <c r="B466" s="147" t="s">
        <v>286</v>
      </c>
      <c r="C466" s="66">
        <v>11970316586</v>
      </c>
      <c r="D466" s="66">
        <v>2</v>
      </c>
      <c r="E466" s="147" t="s">
        <v>72</v>
      </c>
      <c r="F466" s="96">
        <f>VLOOKUP(E466,CONFIGURAÇÃO!E:F,2,0)</f>
      </c>
      <c r="G466" s="147" t="s">
        <v>73</v>
      </c>
      <c r="H466" s="96">
        <f>IF(G466="CORTESIA",0,D466*F466)</f>
      </c>
      <c r="I466" s="147" t="s">
        <v>50</v>
      </c>
      <c r="J466" s="147" t="s">
        <v>74</v>
      </c>
      <c r="K466" s="147" t="s">
        <v>393</v>
      </c>
      <c r="L466" s="2"/>
      <c r="M466" s="1"/>
      <c r="N466" s="1"/>
      <c r="O466" s="1"/>
    </row>
    <row x14ac:dyDescent="0.25" r="467" customHeight="1" ht="18.75" hidden="1">
      <c r="A467" s="65" t="s">
        <v>41</v>
      </c>
      <c r="B467" s="147" t="s">
        <v>264</v>
      </c>
      <c r="C467" s="66">
        <v>11964330586</v>
      </c>
      <c r="D467" s="66">
        <v>1</v>
      </c>
      <c r="E467" s="147" t="s">
        <v>72</v>
      </c>
      <c r="F467" s="96">
        <f>VLOOKUP(E467,CONFIGURAÇÃO!E:F,2,0)</f>
      </c>
      <c r="G467" s="147" t="s">
        <v>13</v>
      </c>
      <c r="H467" s="96">
        <f>IF(G467="CORTESIA",0,D467*F467)</f>
      </c>
      <c r="I467" s="147" t="s">
        <v>50</v>
      </c>
      <c r="J467" s="147" t="s">
        <v>74</v>
      </c>
      <c r="K467" s="147"/>
      <c r="L467" s="2"/>
      <c r="M467" s="1"/>
      <c r="N467" s="1"/>
      <c r="O467" s="1"/>
    </row>
    <row x14ac:dyDescent="0.25" r="468" customHeight="1" ht="18.75" hidden="1">
      <c r="A468" s="65" t="s">
        <v>41</v>
      </c>
      <c r="B468" s="147" t="s">
        <v>201</v>
      </c>
      <c r="C468" s="66">
        <v>11978760052</v>
      </c>
      <c r="D468" s="66">
        <v>2</v>
      </c>
      <c r="E468" s="147" t="s">
        <v>72</v>
      </c>
      <c r="F468" s="96">
        <f>VLOOKUP(E468,CONFIGURAÇÃO!E:F,2,0)</f>
      </c>
      <c r="G468" s="147" t="s">
        <v>13</v>
      </c>
      <c r="H468" s="96">
        <f>IF(G468="CORTESIA",0,D468*F468)</f>
      </c>
      <c r="I468" s="147" t="s">
        <v>50</v>
      </c>
      <c r="J468" s="147" t="s">
        <v>74</v>
      </c>
      <c r="K468" s="147"/>
      <c r="L468" s="2"/>
      <c r="M468" s="1"/>
      <c r="N468" s="1"/>
      <c r="O468" s="1"/>
    </row>
    <row x14ac:dyDescent="0.25" r="469" customHeight="1" ht="18.75" hidden="1">
      <c r="A469" s="65" t="s">
        <v>41</v>
      </c>
      <c r="B469" s="147" t="s">
        <v>207</v>
      </c>
      <c r="C469" s="66">
        <v>11991103196</v>
      </c>
      <c r="D469" s="66">
        <v>1</v>
      </c>
      <c r="E469" s="147" t="s">
        <v>72</v>
      </c>
      <c r="F469" s="96">
        <f>VLOOKUP(E469,CONFIGURAÇÃO!E:F,2,0)</f>
      </c>
      <c r="G469" s="147" t="s">
        <v>13</v>
      </c>
      <c r="H469" s="96">
        <f>IF(G469="CORTESIA",0,D469*F469)</f>
      </c>
      <c r="I469" s="147" t="s">
        <v>50</v>
      </c>
      <c r="J469" s="147" t="s">
        <v>74</v>
      </c>
      <c r="K469" s="147"/>
      <c r="L469" s="2"/>
      <c r="M469" s="1"/>
      <c r="N469" s="1"/>
      <c r="O469" s="1"/>
    </row>
    <row x14ac:dyDescent="0.25" r="470" customHeight="1" ht="18.75" hidden="1">
      <c r="A470" s="65" t="s">
        <v>41</v>
      </c>
      <c r="B470" s="147" t="s">
        <v>346</v>
      </c>
      <c r="C470" s="66">
        <v>11939297527</v>
      </c>
      <c r="D470" s="66">
        <v>3</v>
      </c>
      <c r="E470" s="147" t="s">
        <v>72</v>
      </c>
      <c r="F470" s="96">
        <f>VLOOKUP(E470,CONFIGURAÇÃO!E:F,2,0)</f>
      </c>
      <c r="G470" s="147" t="s">
        <v>13</v>
      </c>
      <c r="H470" s="96">
        <f>IF(G470="CORTESIA",0,D470*F470)</f>
      </c>
      <c r="I470" s="147" t="s">
        <v>50</v>
      </c>
      <c r="J470" s="147" t="s">
        <v>74</v>
      </c>
      <c r="K470" s="147"/>
      <c r="L470" s="2"/>
      <c r="M470" s="1"/>
      <c r="N470" s="1"/>
      <c r="O470" s="1"/>
    </row>
    <row x14ac:dyDescent="0.25" r="471" customHeight="1" ht="18.75" hidden="1">
      <c r="A471" s="65" t="s">
        <v>43</v>
      </c>
      <c r="B471" s="147" t="s">
        <v>494</v>
      </c>
      <c r="C471" s="66">
        <v>11957849656</v>
      </c>
      <c r="D471" s="66">
        <v>1</v>
      </c>
      <c r="E471" s="147" t="s">
        <v>72</v>
      </c>
      <c r="F471" s="96">
        <f>VLOOKUP(E471,CONFIGURAÇÃO!E:F,2,0)</f>
      </c>
      <c r="G471" s="147" t="s">
        <v>73</v>
      </c>
      <c r="H471" s="96">
        <f>IF(G471="CORTESIA",0,D471*F471)</f>
      </c>
      <c r="I471" s="147" t="s">
        <v>50</v>
      </c>
      <c r="J471" s="147" t="s">
        <v>74</v>
      </c>
      <c r="K471" s="147" t="s">
        <v>393</v>
      </c>
      <c r="L471" s="2"/>
      <c r="M471" s="1"/>
      <c r="N471" s="1"/>
      <c r="O471" s="1"/>
    </row>
    <row x14ac:dyDescent="0.25" r="472" customHeight="1" ht="18.75" hidden="1">
      <c r="A472" s="65" t="s">
        <v>43</v>
      </c>
      <c r="B472" s="147" t="s">
        <v>494</v>
      </c>
      <c r="C472" s="66">
        <v>11957849656</v>
      </c>
      <c r="D472" s="66">
        <v>1</v>
      </c>
      <c r="E472" s="147" t="s">
        <v>78</v>
      </c>
      <c r="F472" s="96">
        <f>VLOOKUP(E472,CONFIGURAÇÃO!E:F,2,0)</f>
      </c>
      <c r="G472" s="147" t="s">
        <v>73</v>
      </c>
      <c r="H472" s="96">
        <f>IF(G472="CORTESIA",0,D472*F472)</f>
      </c>
      <c r="I472" s="147" t="s">
        <v>50</v>
      </c>
      <c r="J472" s="147" t="s">
        <v>74</v>
      </c>
      <c r="K472" s="147" t="s">
        <v>393</v>
      </c>
      <c r="L472" s="2"/>
      <c r="M472" s="1"/>
      <c r="N472" s="1"/>
      <c r="O472" s="1"/>
    </row>
    <row x14ac:dyDescent="0.25" r="473" customHeight="1" ht="18.75" hidden="1">
      <c r="A473" s="65" t="s">
        <v>43</v>
      </c>
      <c r="B473" s="147" t="s">
        <v>359</v>
      </c>
      <c r="C473" s="66">
        <v>11958246382</v>
      </c>
      <c r="D473" s="66">
        <v>1</v>
      </c>
      <c r="E473" s="147" t="s">
        <v>78</v>
      </c>
      <c r="F473" s="96">
        <f>VLOOKUP(E473,CONFIGURAÇÃO!E:F,2,0)</f>
      </c>
      <c r="G473" s="147" t="s">
        <v>13</v>
      </c>
      <c r="H473" s="96">
        <f>IF(G473="CORTESIA",0,D473*F473)</f>
      </c>
      <c r="I473" s="147" t="s">
        <v>50</v>
      </c>
      <c r="J473" s="147" t="s">
        <v>74</v>
      </c>
      <c r="K473" s="147" t="s">
        <v>393</v>
      </c>
      <c r="L473" s="2"/>
      <c r="M473" s="1"/>
      <c r="N473" s="1"/>
      <c r="O473" s="1"/>
    </row>
    <row x14ac:dyDescent="0.25" r="474" customHeight="1" ht="18.75" hidden="1">
      <c r="A474" s="65" t="s">
        <v>43</v>
      </c>
      <c r="B474" s="147" t="s">
        <v>425</v>
      </c>
      <c r="C474" s="66">
        <v>11915808149</v>
      </c>
      <c r="D474" s="66">
        <v>1</v>
      </c>
      <c r="E474" s="147" t="s">
        <v>72</v>
      </c>
      <c r="F474" s="96">
        <f>VLOOKUP(E474,CONFIGURAÇÃO!E:F,2,0)</f>
      </c>
      <c r="G474" s="147" t="s">
        <v>13</v>
      </c>
      <c r="H474" s="96">
        <f>IF(G474="CORTESIA",0,D474*F474)</f>
      </c>
      <c r="I474" s="147" t="s">
        <v>50</v>
      </c>
      <c r="J474" s="147" t="s">
        <v>74</v>
      </c>
      <c r="K474" s="147"/>
      <c r="L474" s="2"/>
      <c r="M474" s="1"/>
      <c r="N474" s="1"/>
      <c r="O474" s="1"/>
    </row>
    <row x14ac:dyDescent="0.25" r="475" customHeight="1" ht="18.75" hidden="1">
      <c r="A475" s="65" t="s">
        <v>43</v>
      </c>
      <c r="B475" s="147" t="s">
        <v>470</v>
      </c>
      <c r="C475" s="66">
        <v>11910773358</v>
      </c>
      <c r="D475" s="66">
        <v>1</v>
      </c>
      <c r="E475" s="147" t="s">
        <v>72</v>
      </c>
      <c r="F475" s="96">
        <f>VLOOKUP(E475,CONFIGURAÇÃO!E:F,2,0)</f>
      </c>
      <c r="G475" s="147" t="s">
        <v>13</v>
      </c>
      <c r="H475" s="96">
        <f>IF(G475="CORTESIA",0,D475*F475)</f>
      </c>
      <c r="I475" s="147" t="s">
        <v>50</v>
      </c>
      <c r="J475" s="147" t="s">
        <v>74</v>
      </c>
      <c r="K475" s="147"/>
      <c r="L475" s="2"/>
      <c r="M475" s="1"/>
      <c r="N475" s="1"/>
      <c r="O475" s="1"/>
    </row>
    <row x14ac:dyDescent="0.25" r="476" customHeight="1" ht="18.75" hidden="1">
      <c r="A476" s="65" t="s">
        <v>43</v>
      </c>
      <c r="B476" s="147" t="s">
        <v>468</v>
      </c>
      <c r="C476" s="66">
        <v>11990199277</v>
      </c>
      <c r="D476" s="66">
        <v>1</v>
      </c>
      <c r="E476" s="147" t="s">
        <v>72</v>
      </c>
      <c r="F476" s="96">
        <f>VLOOKUP(E476,CONFIGURAÇÃO!E:F,2,0)</f>
      </c>
      <c r="G476" s="147" t="s">
        <v>73</v>
      </c>
      <c r="H476" s="96">
        <f>IF(G476="CORTESIA",0,D476*F476)</f>
      </c>
      <c r="I476" s="147" t="s">
        <v>50</v>
      </c>
      <c r="J476" s="147" t="s">
        <v>74</v>
      </c>
      <c r="K476" s="147" t="s">
        <v>469</v>
      </c>
      <c r="L476" s="2"/>
      <c r="M476" s="1"/>
      <c r="N476" s="1"/>
      <c r="O476" s="1"/>
    </row>
    <row x14ac:dyDescent="0.25" r="477" customHeight="1" ht="18.75" hidden="1">
      <c r="A477" s="65" t="s">
        <v>43</v>
      </c>
      <c r="B477" s="147" t="s">
        <v>485</v>
      </c>
      <c r="C477" s="66">
        <v>11974899127</v>
      </c>
      <c r="D477" s="66">
        <v>2</v>
      </c>
      <c r="E477" s="147" t="s">
        <v>72</v>
      </c>
      <c r="F477" s="96">
        <f>VLOOKUP(E477,CONFIGURAÇÃO!E:F,2,0)</f>
      </c>
      <c r="G477" s="147" t="s">
        <v>73</v>
      </c>
      <c r="H477" s="96">
        <f>IF(G477="CORTESIA",0,D477*F477)</f>
      </c>
      <c r="I477" s="147" t="s">
        <v>50</v>
      </c>
      <c r="J477" s="147" t="s">
        <v>74</v>
      </c>
      <c r="K477" s="147"/>
      <c r="L477" s="2"/>
      <c r="M477" s="1"/>
      <c r="N477" s="1"/>
      <c r="O477" s="1"/>
    </row>
    <row x14ac:dyDescent="0.25" r="478" customHeight="1" ht="18.75" hidden="1">
      <c r="A478" s="65" t="s">
        <v>43</v>
      </c>
      <c r="B478" s="147" t="s">
        <v>345</v>
      </c>
      <c r="C478" s="66">
        <v>11986264407</v>
      </c>
      <c r="D478" s="66">
        <v>2</v>
      </c>
      <c r="E478" s="147" t="s">
        <v>72</v>
      </c>
      <c r="F478" s="96">
        <f>VLOOKUP(E478,CONFIGURAÇÃO!E:F,2,0)</f>
      </c>
      <c r="G478" s="147" t="s">
        <v>73</v>
      </c>
      <c r="H478" s="96">
        <f>IF(G478="CORTESIA",0,D478*F478)</f>
      </c>
      <c r="I478" s="147" t="s">
        <v>50</v>
      </c>
      <c r="J478" s="147" t="s">
        <v>74</v>
      </c>
      <c r="K478" s="147"/>
      <c r="L478" s="2"/>
      <c r="M478" s="1"/>
      <c r="N478" s="1"/>
      <c r="O478" s="1"/>
    </row>
    <row x14ac:dyDescent="0.25" r="479" customHeight="1" ht="18.75" hidden="1">
      <c r="A479" s="65" t="s">
        <v>43</v>
      </c>
      <c r="B479" s="147" t="s">
        <v>443</v>
      </c>
      <c r="C479" s="66">
        <v>11933819477</v>
      </c>
      <c r="D479" s="66">
        <v>1</v>
      </c>
      <c r="E479" s="147" t="s">
        <v>72</v>
      </c>
      <c r="F479" s="96">
        <f>VLOOKUP(E479,CONFIGURAÇÃO!E:F,2,0)</f>
      </c>
      <c r="G479" s="147" t="s">
        <v>13</v>
      </c>
      <c r="H479" s="96">
        <f>IF(G479="CORTESIA",0,D479*F479)</f>
      </c>
      <c r="I479" s="147" t="s">
        <v>50</v>
      </c>
      <c r="J479" s="147" t="s">
        <v>74</v>
      </c>
      <c r="K479" s="147"/>
      <c r="L479" s="2"/>
      <c r="M479" s="1"/>
      <c r="N479" s="1"/>
      <c r="O479" s="1"/>
    </row>
    <row x14ac:dyDescent="0.25" r="480" customHeight="1" ht="18.75" hidden="1">
      <c r="A480" s="65" t="s">
        <v>43</v>
      </c>
      <c r="B480" s="147" t="s">
        <v>496</v>
      </c>
      <c r="C480" s="66">
        <v>11999807859</v>
      </c>
      <c r="D480" s="66">
        <v>1</v>
      </c>
      <c r="E480" s="147" t="s">
        <v>72</v>
      </c>
      <c r="F480" s="96">
        <f>VLOOKUP(E480,CONFIGURAÇÃO!E:F,2,0)</f>
      </c>
      <c r="G480" s="147" t="s">
        <v>13</v>
      </c>
      <c r="H480" s="96">
        <f>IF(G480="CORTESIA",0,D480*F480)</f>
      </c>
      <c r="I480" s="147" t="s">
        <v>50</v>
      </c>
      <c r="J480" s="147" t="s">
        <v>74</v>
      </c>
      <c r="K480" s="147"/>
      <c r="L480" s="2"/>
      <c r="M480" s="1"/>
      <c r="N480" s="1"/>
      <c r="O480" s="1"/>
    </row>
    <row x14ac:dyDescent="0.25" r="481" customHeight="1" ht="18.75" hidden="1">
      <c r="A481" s="65" t="s">
        <v>43</v>
      </c>
      <c r="B481" s="147" t="s">
        <v>424</v>
      </c>
      <c r="C481" s="66">
        <v>11932597821</v>
      </c>
      <c r="D481" s="66">
        <v>2</v>
      </c>
      <c r="E481" s="147" t="s">
        <v>72</v>
      </c>
      <c r="F481" s="96">
        <f>VLOOKUP(E481,CONFIGURAÇÃO!E:F,2,0)</f>
      </c>
      <c r="G481" s="147" t="s">
        <v>73</v>
      </c>
      <c r="H481" s="96">
        <f>IF(G481="CORTESIA",0,D481*F481)</f>
      </c>
      <c r="I481" s="147" t="s">
        <v>50</v>
      </c>
      <c r="J481" s="147" t="s">
        <v>74</v>
      </c>
      <c r="K481" s="147" t="s">
        <v>393</v>
      </c>
      <c r="L481" s="2"/>
      <c r="M481" s="1"/>
      <c r="N481" s="1"/>
      <c r="O481" s="1"/>
    </row>
    <row x14ac:dyDescent="0.25" r="482" customHeight="1" ht="18.75" hidden="1">
      <c r="A482" s="65" t="s">
        <v>43</v>
      </c>
      <c r="B482" s="147" t="s">
        <v>492</v>
      </c>
      <c r="C482" s="66">
        <v>11941279224</v>
      </c>
      <c r="D482" s="66">
        <v>2</v>
      </c>
      <c r="E482" s="147" t="s">
        <v>72</v>
      </c>
      <c r="F482" s="96">
        <f>VLOOKUP(E482,CONFIGURAÇÃO!E:F,2,0)</f>
      </c>
      <c r="G482" s="147" t="s">
        <v>13</v>
      </c>
      <c r="H482" s="96">
        <f>IF(G482="CORTESIA",0,D482*F482)</f>
      </c>
      <c r="I482" s="147" t="s">
        <v>50</v>
      </c>
      <c r="J482" s="147" t="s">
        <v>74</v>
      </c>
      <c r="K482" s="147"/>
      <c r="L482" s="2"/>
      <c r="M482" s="1"/>
      <c r="N482" s="1"/>
      <c r="O482" s="1"/>
    </row>
    <row x14ac:dyDescent="0.25" r="483" customHeight="1" ht="18.75" hidden="1">
      <c r="A483" s="65" t="s">
        <v>43</v>
      </c>
      <c r="B483" s="147" t="s">
        <v>207</v>
      </c>
      <c r="C483" s="66">
        <v>11991103196</v>
      </c>
      <c r="D483" s="66">
        <v>2</v>
      </c>
      <c r="E483" s="147" t="s">
        <v>72</v>
      </c>
      <c r="F483" s="96">
        <f>VLOOKUP(E483,CONFIGURAÇÃO!E:F,2,0)</f>
      </c>
      <c r="G483" s="147" t="s">
        <v>13</v>
      </c>
      <c r="H483" s="96">
        <f>IF(G483="CORTESIA",0,D483*F483)</f>
      </c>
      <c r="I483" s="147" t="s">
        <v>50</v>
      </c>
      <c r="J483" s="147" t="s">
        <v>74</v>
      </c>
      <c r="K483" s="147"/>
      <c r="L483" s="2"/>
      <c r="M483" s="1"/>
      <c r="N483" s="1"/>
      <c r="O483" s="1"/>
    </row>
    <row x14ac:dyDescent="0.25" r="484" customHeight="1" ht="18.75" hidden="1">
      <c r="A484" s="65" t="s">
        <v>43</v>
      </c>
      <c r="B484" s="147" t="s">
        <v>199</v>
      </c>
      <c r="C484" s="66">
        <v>11937409836</v>
      </c>
      <c r="D484" s="66">
        <v>1</v>
      </c>
      <c r="E484" s="147" t="s">
        <v>72</v>
      </c>
      <c r="F484" s="96">
        <f>VLOOKUP(E484,CONFIGURAÇÃO!E:F,2,0)</f>
      </c>
      <c r="G484" s="147" t="s">
        <v>13</v>
      </c>
      <c r="H484" s="96">
        <f>IF(G484="CORTESIA",0,D484*F484)</f>
      </c>
      <c r="I484" s="147" t="s">
        <v>50</v>
      </c>
      <c r="J484" s="147" t="s">
        <v>74</v>
      </c>
      <c r="K484" s="147"/>
      <c r="L484" s="2"/>
      <c r="M484" s="1"/>
      <c r="N484" s="1"/>
      <c r="O484" s="1"/>
    </row>
    <row x14ac:dyDescent="0.25" r="485" customHeight="1" ht="18.75" hidden="1">
      <c r="A485" s="65" t="s">
        <v>43</v>
      </c>
      <c r="B485" s="147" t="s">
        <v>488</v>
      </c>
      <c r="C485" s="66">
        <v>11979647745</v>
      </c>
      <c r="D485" s="66">
        <v>1</v>
      </c>
      <c r="E485" s="147" t="s">
        <v>72</v>
      </c>
      <c r="F485" s="96">
        <f>VLOOKUP(E485,CONFIGURAÇÃO!E:F,2,0)</f>
      </c>
      <c r="G485" s="147" t="s">
        <v>13</v>
      </c>
      <c r="H485" s="96">
        <f>IF(G485="CORTESIA",0,D485*F485)</f>
      </c>
      <c r="I485" s="147" t="s">
        <v>50</v>
      </c>
      <c r="J485" s="147" t="s">
        <v>74</v>
      </c>
      <c r="K485" s="147"/>
      <c r="L485" s="2"/>
      <c r="M485" s="1"/>
      <c r="N485" s="1"/>
      <c r="O485" s="1"/>
    </row>
    <row x14ac:dyDescent="0.25" r="486" customHeight="1" ht="18.75" hidden="1">
      <c r="A486" s="65" t="s">
        <v>43</v>
      </c>
      <c r="B486" s="147" t="s">
        <v>461</v>
      </c>
      <c r="C486" s="66">
        <v>11947131975</v>
      </c>
      <c r="D486" s="66">
        <v>1</v>
      </c>
      <c r="E486" s="147" t="s">
        <v>72</v>
      </c>
      <c r="F486" s="96">
        <f>VLOOKUP(E486,CONFIGURAÇÃO!E:F,2,0)</f>
      </c>
      <c r="G486" s="147" t="s">
        <v>13</v>
      </c>
      <c r="H486" s="96">
        <f>IF(G486="CORTESIA",0,D486*F486)</f>
      </c>
      <c r="I486" s="147" t="s">
        <v>50</v>
      </c>
      <c r="J486" s="147" t="s">
        <v>74</v>
      </c>
      <c r="K486" s="147"/>
      <c r="L486" s="2"/>
      <c r="M486" s="1"/>
      <c r="N486" s="1"/>
      <c r="O486" s="1"/>
    </row>
    <row x14ac:dyDescent="0.25" r="487" customHeight="1" ht="18.75" hidden="1">
      <c r="A487" s="65" t="s">
        <v>44</v>
      </c>
      <c r="B487" s="147" t="s">
        <v>461</v>
      </c>
      <c r="C487" s="66">
        <v>11947131975</v>
      </c>
      <c r="D487" s="66">
        <v>2</v>
      </c>
      <c r="E487" s="147" t="s">
        <v>78</v>
      </c>
      <c r="F487" s="96">
        <f>VLOOKUP(E487,CONFIGURAÇÃO!E:F,2,0)</f>
      </c>
      <c r="G487" s="147" t="s">
        <v>13</v>
      </c>
      <c r="H487" s="96">
        <f>IF(G487="CORTESIA",0,D487*F487)</f>
      </c>
      <c r="I487" s="147" t="s">
        <v>50</v>
      </c>
      <c r="J487" s="147" t="s">
        <v>74</v>
      </c>
      <c r="K487" s="147"/>
      <c r="L487" s="2"/>
      <c r="M487" s="1"/>
      <c r="N487" s="1"/>
      <c r="O487" s="1"/>
    </row>
    <row x14ac:dyDescent="0.25" r="488" customHeight="1" ht="18.75" hidden="1">
      <c r="A488" s="65" t="s">
        <v>44</v>
      </c>
      <c r="B488" s="147" t="s">
        <v>462</v>
      </c>
      <c r="C488" s="66">
        <v>11939417996</v>
      </c>
      <c r="D488" s="66">
        <v>1</v>
      </c>
      <c r="E488" s="147" t="s">
        <v>78</v>
      </c>
      <c r="F488" s="96">
        <f>VLOOKUP(E488,CONFIGURAÇÃO!E:F,2,0)</f>
      </c>
      <c r="G488" s="147" t="s">
        <v>13</v>
      </c>
      <c r="H488" s="96">
        <f>IF(G488="CORTESIA",0,D488*F488)</f>
      </c>
      <c r="I488" s="147" t="s">
        <v>50</v>
      </c>
      <c r="J488" s="147" t="s">
        <v>74</v>
      </c>
      <c r="K488" s="147"/>
      <c r="L488" s="2"/>
      <c r="M488" s="1"/>
      <c r="N488" s="1"/>
      <c r="O488" s="1"/>
    </row>
    <row x14ac:dyDescent="0.25" r="489" customHeight="1" ht="18.75" hidden="1">
      <c r="A489" s="65" t="s">
        <v>44</v>
      </c>
      <c r="B489" s="147" t="s">
        <v>324</v>
      </c>
      <c r="C489" s="66">
        <v>11972383586</v>
      </c>
      <c r="D489" s="66">
        <v>1</v>
      </c>
      <c r="E489" s="147" t="s">
        <v>78</v>
      </c>
      <c r="F489" s="96">
        <f>VLOOKUP(E489,CONFIGURAÇÃO!E:F,2,0)</f>
      </c>
      <c r="G489" s="147" t="s">
        <v>13</v>
      </c>
      <c r="H489" s="96">
        <f>IF(G489="CORTESIA",0,D489*F489)</f>
      </c>
      <c r="I489" s="147" t="s">
        <v>50</v>
      </c>
      <c r="J489" s="147" t="s">
        <v>74</v>
      </c>
      <c r="K489" s="147"/>
      <c r="L489" s="2"/>
      <c r="M489" s="1"/>
      <c r="N489" s="1"/>
      <c r="O489" s="1"/>
    </row>
    <row x14ac:dyDescent="0.25" r="490" customHeight="1" ht="18.75" hidden="1">
      <c r="A490" s="65" t="s">
        <v>44</v>
      </c>
      <c r="B490" s="147" t="s">
        <v>465</v>
      </c>
      <c r="C490" s="66">
        <v>11961005168</v>
      </c>
      <c r="D490" s="66">
        <v>1</v>
      </c>
      <c r="E490" s="147" t="s">
        <v>171</v>
      </c>
      <c r="F490" s="96">
        <f>VLOOKUP(E490,CONFIGURAÇÃO!E:F,2,0)</f>
      </c>
      <c r="G490" s="147" t="s">
        <v>13</v>
      </c>
      <c r="H490" s="96">
        <f>IF(G490="CORTESIA",0,D490*F490)</f>
      </c>
      <c r="I490" s="147" t="s">
        <v>50</v>
      </c>
      <c r="J490" s="147" t="s">
        <v>74</v>
      </c>
      <c r="K490" s="147"/>
      <c r="L490" s="2"/>
      <c r="M490" s="1"/>
      <c r="N490" s="1"/>
      <c r="O490" s="1"/>
    </row>
    <row x14ac:dyDescent="0.25" r="491" customHeight="1" ht="18.75" hidden="1">
      <c r="A491" s="65" t="s">
        <v>44</v>
      </c>
      <c r="B491" s="147" t="s">
        <v>420</v>
      </c>
      <c r="C491" s="66">
        <v>11946028455</v>
      </c>
      <c r="D491" s="66">
        <v>1</v>
      </c>
      <c r="E491" s="147" t="s">
        <v>78</v>
      </c>
      <c r="F491" s="96">
        <f>VLOOKUP(E491,CONFIGURAÇÃO!E:F,2,0)</f>
      </c>
      <c r="G491" s="147" t="s">
        <v>73</v>
      </c>
      <c r="H491" s="96">
        <f>IF(G491="CORTESIA",0,D491*F491)</f>
      </c>
      <c r="I491" s="147" t="s">
        <v>50</v>
      </c>
      <c r="J491" s="147" t="s">
        <v>74</v>
      </c>
      <c r="K491" s="147" t="s">
        <v>393</v>
      </c>
      <c r="L491" s="2"/>
      <c r="M491" s="1"/>
      <c r="N491" s="1"/>
      <c r="O491" s="1"/>
    </row>
    <row x14ac:dyDescent="0.25" r="492" customHeight="1" ht="18.75" hidden="1">
      <c r="A492" s="65" t="s">
        <v>44</v>
      </c>
      <c r="B492" s="147" t="s">
        <v>357</v>
      </c>
      <c r="C492" s="66">
        <v>11977760176</v>
      </c>
      <c r="D492" s="66">
        <v>2</v>
      </c>
      <c r="E492" s="147" t="s">
        <v>78</v>
      </c>
      <c r="F492" s="96">
        <f>VLOOKUP(E492,CONFIGURAÇÃO!E:F,2,0)</f>
      </c>
      <c r="G492" s="147" t="s">
        <v>13</v>
      </c>
      <c r="H492" s="96">
        <f>IF(G492="CORTESIA",0,D492*F492)</f>
      </c>
      <c r="I492" s="147" t="s">
        <v>50</v>
      </c>
      <c r="J492" s="147" t="s">
        <v>74</v>
      </c>
      <c r="K492" s="147"/>
      <c r="L492" s="2"/>
      <c r="M492" s="1"/>
      <c r="N492" s="1"/>
      <c r="O492" s="1"/>
    </row>
    <row x14ac:dyDescent="0.25" r="493" customHeight="1" ht="18.75" hidden="1">
      <c r="A493" s="65" t="s">
        <v>44</v>
      </c>
      <c r="B493" s="147" t="s">
        <v>345</v>
      </c>
      <c r="C493" s="66">
        <v>11986264407</v>
      </c>
      <c r="D493" s="66">
        <v>2</v>
      </c>
      <c r="E493" s="147" t="s">
        <v>171</v>
      </c>
      <c r="F493" s="96">
        <f>VLOOKUP(E493,CONFIGURAÇÃO!E:F,2,0)</f>
      </c>
      <c r="G493" s="147" t="s">
        <v>73</v>
      </c>
      <c r="H493" s="96">
        <f>IF(G493="CORTESIA",0,D493*F493)</f>
      </c>
      <c r="I493" s="147" t="s">
        <v>50</v>
      </c>
      <c r="J493" s="147" t="s">
        <v>74</v>
      </c>
      <c r="K493" s="147"/>
      <c r="L493" s="2"/>
      <c r="M493" s="1"/>
      <c r="N493" s="1"/>
      <c r="O493" s="1"/>
    </row>
    <row x14ac:dyDescent="0.25" r="494" customHeight="1" ht="18.75" hidden="1">
      <c r="A494" s="65" t="s">
        <v>44</v>
      </c>
      <c r="B494" s="147" t="s">
        <v>345</v>
      </c>
      <c r="C494" s="66">
        <v>11986264407</v>
      </c>
      <c r="D494" s="66">
        <v>1</v>
      </c>
      <c r="E494" s="147" t="s">
        <v>78</v>
      </c>
      <c r="F494" s="96">
        <f>VLOOKUP(E494,CONFIGURAÇÃO!E:F,2,0)</f>
      </c>
      <c r="G494" s="147" t="s">
        <v>73</v>
      </c>
      <c r="H494" s="96">
        <f>IF(G494="CORTESIA",0,D494*F494)</f>
      </c>
      <c r="I494" s="147" t="s">
        <v>50</v>
      </c>
      <c r="J494" s="147" t="s">
        <v>74</v>
      </c>
      <c r="K494" s="147"/>
      <c r="L494" s="2"/>
      <c r="M494" s="1"/>
      <c r="N494" s="1"/>
      <c r="O494" s="1"/>
    </row>
    <row x14ac:dyDescent="0.25" r="495" customHeight="1" ht="18.75" hidden="1">
      <c r="A495" s="65" t="s">
        <v>44</v>
      </c>
      <c r="B495" s="147" t="s">
        <v>468</v>
      </c>
      <c r="C495" s="66">
        <v>11990199277</v>
      </c>
      <c r="D495" s="66">
        <v>1</v>
      </c>
      <c r="E495" s="147" t="s">
        <v>78</v>
      </c>
      <c r="F495" s="96">
        <f>VLOOKUP(E495,CONFIGURAÇÃO!E:F,2,0)</f>
      </c>
      <c r="G495" s="147" t="s">
        <v>73</v>
      </c>
      <c r="H495" s="96">
        <f>IF(G495="CORTESIA",0,D495*F495)</f>
      </c>
      <c r="I495" s="147" t="s">
        <v>50</v>
      </c>
      <c r="J495" s="147" t="s">
        <v>74</v>
      </c>
      <c r="K495" s="147" t="s">
        <v>469</v>
      </c>
      <c r="L495" s="2"/>
      <c r="M495" s="1"/>
      <c r="N495" s="1"/>
      <c r="O495" s="1"/>
    </row>
    <row x14ac:dyDescent="0.25" r="496" customHeight="1" ht="18.75" hidden="1">
      <c r="A496" s="65" t="s">
        <v>44</v>
      </c>
      <c r="B496" s="147" t="s">
        <v>218</v>
      </c>
      <c r="C496" s="66">
        <v>11997414630</v>
      </c>
      <c r="D496" s="66">
        <v>1</v>
      </c>
      <c r="E496" s="147" t="s">
        <v>78</v>
      </c>
      <c r="F496" s="96">
        <f>VLOOKUP(E496,CONFIGURAÇÃO!E:F,2,0)</f>
      </c>
      <c r="G496" s="147" t="s">
        <v>13</v>
      </c>
      <c r="H496" s="96">
        <f>IF(G496="CORTESIA",0,D496*F496)</f>
      </c>
      <c r="I496" s="147" t="s">
        <v>50</v>
      </c>
      <c r="J496" s="147" t="s">
        <v>74</v>
      </c>
      <c r="K496" s="147"/>
      <c r="L496" s="2"/>
      <c r="M496" s="1"/>
      <c r="N496" s="1"/>
      <c r="O496" s="1"/>
    </row>
    <row x14ac:dyDescent="0.25" r="497" customHeight="1" ht="18.75" hidden="1">
      <c r="A497" s="65" t="s">
        <v>44</v>
      </c>
      <c r="B497" s="147" t="s">
        <v>324</v>
      </c>
      <c r="C497" s="66">
        <v>11972383586</v>
      </c>
      <c r="D497" s="66">
        <v>1</v>
      </c>
      <c r="E497" s="147" t="s">
        <v>171</v>
      </c>
      <c r="F497" s="96">
        <f>VLOOKUP(E497,CONFIGURAÇÃO!E:F,2,0)</f>
      </c>
      <c r="G497" s="147" t="s">
        <v>13</v>
      </c>
      <c r="H497" s="96">
        <f>IF(G497="CORTESIA",0,D497*F497)</f>
      </c>
      <c r="I497" s="147" t="s">
        <v>50</v>
      </c>
      <c r="J497" s="147" t="s">
        <v>74</v>
      </c>
      <c r="K497" s="147"/>
      <c r="L497" s="2"/>
      <c r="M497" s="1"/>
      <c r="N497" s="1"/>
      <c r="O497" s="1"/>
    </row>
    <row x14ac:dyDescent="0.25" r="498" customHeight="1" ht="18.75" hidden="1">
      <c r="A498" s="65" t="s">
        <v>44</v>
      </c>
      <c r="B498" s="147" t="s">
        <v>444</v>
      </c>
      <c r="C498" s="66">
        <v>11917316267</v>
      </c>
      <c r="D498" s="66">
        <v>1</v>
      </c>
      <c r="E498" s="147" t="s">
        <v>66</v>
      </c>
      <c r="F498" s="96">
        <f>VLOOKUP(E498,CONFIGURAÇÃO!E:F,2,0)</f>
      </c>
      <c r="G498" s="147" t="s">
        <v>13</v>
      </c>
      <c r="H498" s="96">
        <f>IF(G498="CORTESIA",0,D498*F498)+58</f>
      </c>
      <c r="I498" s="147" t="s">
        <v>50</v>
      </c>
      <c r="J498" s="147" t="s">
        <v>74</v>
      </c>
      <c r="K498" s="149" t="s">
        <v>428</v>
      </c>
      <c r="L498" s="2"/>
      <c r="M498" s="1"/>
      <c r="N498" s="1"/>
      <c r="O498" s="1"/>
    </row>
    <row x14ac:dyDescent="0.25" r="499" customHeight="1" ht="18.75" hidden="1">
      <c r="A499" s="65" t="s">
        <v>44</v>
      </c>
      <c r="B499" s="147" t="s">
        <v>470</v>
      </c>
      <c r="C499" s="66">
        <v>11910773358</v>
      </c>
      <c r="D499" s="66">
        <v>1</v>
      </c>
      <c r="E499" s="147" t="s">
        <v>171</v>
      </c>
      <c r="F499" s="96">
        <f>VLOOKUP(E499,CONFIGURAÇÃO!E:F,2,0)</f>
      </c>
      <c r="G499" s="147" t="s">
        <v>13</v>
      </c>
      <c r="H499" s="96">
        <f>IF(G499="CORTESIA",0,D499*F499)</f>
      </c>
      <c r="I499" s="147" t="s">
        <v>50</v>
      </c>
      <c r="J499" s="147" t="s">
        <v>74</v>
      </c>
      <c r="K499" s="147"/>
      <c r="L499" s="2"/>
      <c r="M499" s="1"/>
      <c r="N499" s="1"/>
      <c r="O499" s="1"/>
    </row>
    <row x14ac:dyDescent="0.25" r="500" customHeight="1" ht="18.75" hidden="1">
      <c r="A500" s="65" t="s">
        <v>44</v>
      </c>
      <c r="B500" s="147" t="s">
        <v>284</v>
      </c>
      <c r="C500" s="66">
        <v>11934895406</v>
      </c>
      <c r="D500" s="66">
        <v>1</v>
      </c>
      <c r="E500" s="147" t="s">
        <v>78</v>
      </c>
      <c r="F500" s="96">
        <f>VLOOKUP(E500,CONFIGURAÇÃO!E:F,2,0)</f>
      </c>
      <c r="G500" s="147" t="s">
        <v>13</v>
      </c>
      <c r="H500" s="96">
        <f>IF(G500="CORTESIA",0,D500*F500)</f>
      </c>
      <c r="I500" s="147" t="s">
        <v>50</v>
      </c>
      <c r="J500" s="147" t="s">
        <v>74</v>
      </c>
      <c r="K500" s="147"/>
      <c r="L500" s="2"/>
      <c r="M500" s="1"/>
      <c r="N500" s="1"/>
      <c r="O500" s="1"/>
    </row>
    <row x14ac:dyDescent="0.25" r="501" customHeight="1" ht="18.75" hidden="1">
      <c r="A501" s="65" t="s">
        <v>44</v>
      </c>
      <c r="B501" s="147" t="s">
        <v>329</v>
      </c>
      <c r="C501" s="66">
        <v>11991695773</v>
      </c>
      <c r="D501" s="66">
        <v>1</v>
      </c>
      <c r="E501" s="147" t="s">
        <v>78</v>
      </c>
      <c r="F501" s="96">
        <f>VLOOKUP(E501,CONFIGURAÇÃO!E:F,2,0)</f>
      </c>
      <c r="G501" s="147" t="s">
        <v>13</v>
      </c>
      <c r="H501" s="96">
        <f>IF(G501="CORTESIA",0,D501*F501)</f>
      </c>
      <c r="I501" s="147" t="s">
        <v>50</v>
      </c>
      <c r="J501" s="147" t="s">
        <v>74</v>
      </c>
      <c r="K501" s="147"/>
      <c r="L501" s="2"/>
      <c r="M501" s="1"/>
      <c r="N501" s="1"/>
      <c r="O501" s="1"/>
    </row>
    <row x14ac:dyDescent="0.25" r="502" customHeight="1" ht="18.75" hidden="1">
      <c r="A502" s="65" t="s">
        <v>45</v>
      </c>
      <c r="B502" s="147" t="s">
        <v>477</v>
      </c>
      <c r="C502" s="66">
        <v>11948155260</v>
      </c>
      <c r="D502" s="66">
        <v>1</v>
      </c>
      <c r="E502" s="147" t="s">
        <v>171</v>
      </c>
      <c r="F502" s="96">
        <f>VLOOKUP(E502,CONFIGURAÇÃO!E:F,2,0)</f>
      </c>
      <c r="G502" s="147" t="s">
        <v>13</v>
      </c>
      <c r="H502" s="96">
        <f>IF(G502="CORTESIA",0,D502*F502)</f>
      </c>
      <c r="I502" s="147" t="s">
        <v>50</v>
      </c>
      <c r="J502" s="147" t="s">
        <v>74</v>
      </c>
      <c r="K502" s="147" t="s">
        <v>478</v>
      </c>
      <c r="L502" s="2"/>
      <c r="M502" s="1"/>
      <c r="N502" s="1"/>
      <c r="O502" s="1"/>
    </row>
    <row x14ac:dyDescent="0.25" r="503" customHeight="1" ht="18.75" hidden="1">
      <c r="A503" s="65" t="s">
        <v>45</v>
      </c>
      <c r="B503" s="147" t="s">
        <v>496</v>
      </c>
      <c r="C503" s="66">
        <v>11975644983</v>
      </c>
      <c r="D503" s="66">
        <v>1</v>
      </c>
      <c r="E503" s="147" t="s">
        <v>72</v>
      </c>
      <c r="F503" s="96">
        <f>VLOOKUP(E503,CONFIGURAÇÃO!E:F,2,0)</f>
      </c>
      <c r="G503" s="147" t="s">
        <v>13</v>
      </c>
      <c r="H503" s="96">
        <f>IF(G503="CORTESIA",0,D503*F503)</f>
      </c>
      <c r="I503" s="147" t="s">
        <v>50</v>
      </c>
      <c r="J503" s="147" t="s">
        <v>74</v>
      </c>
      <c r="K503" s="147"/>
      <c r="L503" s="2"/>
      <c r="M503" s="1"/>
      <c r="N503" s="1"/>
      <c r="O503" s="1"/>
    </row>
    <row x14ac:dyDescent="0.25" r="504" customHeight="1" ht="18.75" hidden="1">
      <c r="A504" s="65" t="s">
        <v>45</v>
      </c>
      <c r="B504" s="147" t="s">
        <v>324</v>
      </c>
      <c r="C504" s="66">
        <v>11972383586</v>
      </c>
      <c r="D504" s="66">
        <v>1</v>
      </c>
      <c r="E504" s="147" t="s">
        <v>171</v>
      </c>
      <c r="F504" s="96">
        <f>VLOOKUP(E504,CONFIGURAÇÃO!E:F,2,0)</f>
      </c>
      <c r="G504" s="147" t="s">
        <v>13</v>
      </c>
      <c r="H504" s="96">
        <f>IF(G504="CORTESIA",0,D504*F504)</f>
      </c>
      <c r="I504" s="147" t="s">
        <v>50</v>
      </c>
      <c r="J504" s="147" t="s">
        <v>74</v>
      </c>
      <c r="K504" s="147"/>
      <c r="L504" s="2"/>
      <c r="M504" s="1"/>
      <c r="N504" s="1"/>
      <c r="O504" s="1"/>
    </row>
    <row x14ac:dyDescent="0.25" r="505" customHeight="1" ht="18.75" hidden="1">
      <c r="A505" s="65" t="s">
        <v>45</v>
      </c>
      <c r="B505" s="147" t="s">
        <v>427</v>
      </c>
      <c r="C505" s="66">
        <v>11987159059</v>
      </c>
      <c r="D505" s="66">
        <v>1</v>
      </c>
      <c r="E505" s="147" t="s">
        <v>72</v>
      </c>
      <c r="F505" s="96">
        <f>VLOOKUP(E505,CONFIGURAÇÃO!E:F,2,0)</f>
      </c>
      <c r="G505" s="147" t="s">
        <v>73</v>
      </c>
      <c r="H505" s="96">
        <f>IF(G505="CORTESIA",0,D505*F505)</f>
      </c>
      <c r="I505" s="147" t="s">
        <v>50</v>
      </c>
      <c r="J505" s="147" t="s">
        <v>74</v>
      </c>
      <c r="K505" s="149" t="s">
        <v>428</v>
      </c>
      <c r="L505" s="2"/>
      <c r="M505" s="1"/>
      <c r="N505" s="1"/>
      <c r="O505" s="1"/>
    </row>
    <row x14ac:dyDescent="0.25" r="506" customHeight="1" ht="18.75" hidden="1">
      <c r="A506" s="65" t="s">
        <v>45</v>
      </c>
      <c r="B506" s="147" t="s">
        <v>271</v>
      </c>
      <c r="C506" s="66">
        <v>11997623765</v>
      </c>
      <c r="D506" s="66">
        <v>1</v>
      </c>
      <c r="E506" s="147" t="s">
        <v>72</v>
      </c>
      <c r="F506" s="96">
        <f>VLOOKUP(E506,CONFIGURAÇÃO!E:F,2,0)</f>
      </c>
      <c r="G506" s="147" t="s">
        <v>13</v>
      </c>
      <c r="H506" s="96">
        <f>IF(G506="CORTESIA",0,D506*F506)</f>
      </c>
      <c r="I506" s="147" t="s">
        <v>50</v>
      </c>
      <c r="J506" s="147" t="s">
        <v>74</v>
      </c>
      <c r="K506" s="149"/>
      <c r="L506" s="2"/>
      <c r="M506" s="1"/>
      <c r="N506" s="1"/>
      <c r="O506" s="1"/>
    </row>
    <row x14ac:dyDescent="0.25" r="507" customHeight="1" ht="18.75" hidden="1">
      <c r="A507" s="65" t="s">
        <v>45</v>
      </c>
      <c r="B507" s="147" t="s">
        <v>507</v>
      </c>
      <c r="C507" s="66">
        <v>11956495142</v>
      </c>
      <c r="D507" s="66">
        <v>1</v>
      </c>
      <c r="E507" s="147" t="s">
        <v>72</v>
      </c>
      <c r="F507" s="96">
        <f>VLOOKUP(E507,CONFIGURAÇÃO!E:F,2,0)</f>
      </c>
      <c r="G507" s="147" t="s">
        <v>13</v>
      </c>
      <c r="H507" s="96">
        <f>IF(G507="CORTESIA",0,D507*F507)</f>
      </c>
      <c r="I507" s="147" t="s">
        <v>50</v>
      </c>
      <c r="J507" s="147" t="s">
        <v>74</v>
      </c>
      <c r="K507" s="147"/>
      <c r="L507" s="2"/>
      <c r="M507" s="1"/>
      <c r="N507" s="1"/>
      <c r="O507" s="1"/>
    </row>
    <row x14ac:dyDescent="0.25" r="508" customHeight="1" ht="18.75" hidden="1">
      <c r="A508" s="65" t="s">
        <v>45</v>
      </c>
      <c r="B508" s="147" t="s">
        <v>217</v>
      </c>
      <c r="C508" s="66">
        <v>11970355431</v>
      </c>
      <c r="D508" s="66">
        <v>1</v>
      </c>
      <c r="E508" s="147" t="s">
        <v>72</v>
      </c>
      <c r="F508" s="96">
        <f>VLOOKUP(E508,CONFIGURAÇÃO!E:F,2,0)</f>
      </c>
      <c r="G508" s="147" t="s">
        <v>73</v>
      </c>
      <c r="H508" s="96">
        <f>IF(G508="CORTESIA",0,D508*F508)</f>
      </c>
      <c r="I508" s="147" t="s">
        <v>50</v>
      </c>
      <c r="J508" s="147" t="s">
        <v>74</v>
      </c>
      <c r="K508" s="147" t="s">
        <v>393</v>
      </c>
      <c r="L508" s="2"/>
      <c r="M508" s="1"/>
      <c r="N508" s="1"/>
      <c r="O508" s="1"/>
    </row>
    <row x14ac:dyDescent="0.25" r="509" customHeight="1" ht="18.75" hidden="1">
      <c r="A509" s="65" t="s">
        <v>45</v>
      </c>
      <c r="B509" s="147" t="s">
        <v>492</v>
      </c>
      <c r="C509" s="66">
        <v>11941279224</v>
      </c>
      <c r="D509" s="66">
        <v>1</v>
      </c>
      <c r="E509" s="147" t="s">
        <v>72</v>
      </c>
      <c r="F509" s="96">
        <f>VLOOKUP(E509,CONFIGURAÇÃO!E:F,2,0)</f>
      </c>
      <c r="G509" s="147" t="s">
        <v>13</v>
      </c>
      <c r="H509" s="96">
        <f>IF(G509="CORTESIA",0,D509*F509)</f>
      </c>
      <c r="I509" s="147" t="s">
        <v>50</v>
      </c>
      <c r="J509" s="147" t="s">
        <v>74</v>
      </c>
      <c r="K509" s="147"/>
      <c r="L509" s="2"/>
      <c r="M509" s="1"/>
      <c r="N509" s="1"/>
      <c r="O509" s="1"/>
    </row>
    <row x14ac:dyDescent="0.25" r="510" customHeight="1" ht="18.75" hidden="1">
      <c r="A510" s="65" t="s">
        <v>45</v>
      </c>
      <c r="B510" s="147" t="s">
        <v>420</v>
      </c>
      <c r="C510" s="66">
        <v>11946028455</v>
      </c>
      <c r="D510" s="66">
        <v>1</v>
      </c>
      <c r="E510" s="147" t="s">
        <v>171</v>
      </c>
      <c r="F510" s="96">
        <f>VLOOKUP(E510,CONFIGURAÇÃO!E:F,2,0)</f>
      </c>
      <c r="G510" s="147" t="s">
        <v>73</v>
      </c>
      <c r="H510" s="96">
        <f>IF(G510="CORTESIA",0,D510*F510)</f>
      </c>
      <c r="I510" s="147" t="s">
        <v>50</v>
      </c>
      <c r="J510" s="147" t="s">
        <v>74</v>
      </c>
      <c r="K510" s="147" t="s">
        <v>393</v>
      </c>
      <c r="L510" s="2"/>
      <c r="M510" s="1"/>
      <c r="N510" s="1"/>
      <c r="O510" s="1"/>
    </row>
    <row x14ac:dyDescent="0.25" r="511" customHeight="1" ht="18.75" hidden="1">
      <c r="A511" s="65" t="s">
        <v>45</v>
      </c>
      <c r="B511" s="147" t="s">
        <v>457</v>
      </c>
      <c r="C511" s="66">
        <v>11978361766</v>
      </c>
      <c r="D511" s="66">
        <v>1</v>
      </c>
      <c r="E511" s="147" t="s">
        <v>72</v>
      </c>
      <c r="F511" s="96">
        <f>VLOOKUP(E511,CONFIGURAÇÃO!E:F,2,0)</f>
      </c>
      <c r="G511" s="147" t="s">
        <v>13</v>
      </c>
      <c r="H511" s="96">
        <f>IF(G511="CORTESIA",0,D511*F511)</f>
      </c>
      <c r="I511" s="147" t="s">
        <v>50</v>
      </c>
      <c r="J511" s="147" t="s">
        <v>74</v>
      </c>
      <c r="K511" s="147"/>
      <c r="L511" s="2"/>
      <c r="M511" s="1"/>
      <c r="N511" s="1"/>
      <c r="O511" s="1"/>
    </row>
    <row x14ac:dyDescent="0.25" r="512" customHeight="1" ht="18.75" hidden="1">
      <c r="A512" s="65" t="s">
        <v>45</v>
      </c>
      <c r="B512" s="147" t="s">
        <v>216</v>
      </c>
      <c r="C512" s="66">
        <v>11971482968</v>
      </c>
      <c r="D512" s="66">
        <v>1</v>
      </c>
      <c r="E512" s="147" t="s">
        <v>72</v>
      </c>
      <c r="F512" s="96">
        <f>VLOOKUP(E512,CONFIGURAÇÃO!E:F,2,0)</f>
      </c>
      <c r="G512" s="147" t="s">
        <v>73</v>
      </c>
      <c r="H512" s="96">
        <f>IF(G512="CORTESIA",0,D512*F512)</f>
      </c>
      <c r="I512" s="147" t="s">
        <v>50</v>
      </c>
      <c r="J512" s="147" t="s">
        <v>74</v>
      </c>
      <c r="K512" s="147" t="s">
        <v>393</v>
      </c>
      <c r="L512" s="2"/>
      <c r="M512" s="1"/>
      <c r="N512" s="1"/>
      <c r="O512" s="1"/>
    </row>
    <row x14ac:dyDescent="0.25" r="513" customHeight="1" ht="18.75" hidden="1">
      <c r="A513" s="65" t="s">
        <v>45</v>
      </c>
      <c r="B513" s="147" t="s">
        <v>508</v>
      </c>
      <c r="C513" s="66">
        <v>11978108910</v>
      </c>
      <c r="D513" s="66">
        <v>1</v>
      </c>
      <c r="E513" s="147" t="s">
        <v>171</v>
      </c>
      <c r="F513" s="96">
        <f>VLOOKUP(E513,CONFIGURAÇÃO!E:F,2,0)</f>
      </c>
      <c r="G513" s="147" t="s">
        <v>13</v>
      </c>
      <c r="H513" s="96">
        <f>IF(G513="CORTESIA",0,D513*F513)</f>
      </c>
      <c r="I513" s="147" t="s">
        <v>50</v>
      </c>
      <c r="J513" s="147" t="s">
        <v>74</v>
      </c>
      <c r="K513" s="147"/>
      <c r="L513" s="2"/>
      <c r="M513" s="1"/>
      <c r="N513" s="1"/>
      <c r="O513" s="1"/>
    </row>
    <row x14ac:dyDescent="0.25" r="514" customHeight="1" ht="18.75" hidden="1">
      <c r="A514" s="65" t="s">
        <v>45</v>
      </c>
      <c r="B514" s="147" t="s">
        <v>173</v>
      </c>
      <c r="C514" s="66">
        <v>24981125714</v>
      </c>
      <c r="D514" s="66">
        <v>1</v>
      </c>
      <c r="E514" s="147" t="s">
        <v>72</v>
      </c>
      <c r="F514" s="96">
        <f>VLOOKUP(E514,CONFIGURAÇÃO!E:F,2,0)</f>
      </c>
      <c r="G514" s="147" t="s">
        <v>13</v>
      </c>
      <c r="H514" s="96">
        <f>IF(G514="CORTESIA",0,D514*F514)</f>
      </c>
      <c r="I514" s="147" t="s">
        <v>50</v>
      </c>
      <c r="J514" s="147" t="s">
        <v>74</v>
      </c>
      <c r="K514" s="147"/>
      <c r="L514" s="2"/>
      <c r="M514" s="1"/>
      <c r="N514" s="1"/>
      <c r="O514" s="1"/>
    </row>
    <row x14ac:dyDescent="0.25" r="515" customHeight="1" ht="18.75" hidden="1">
      <c r="A515" s="65" t="s">
        <v>45</v>
      </c>
      <c r="B515" s="147" t="s">
        <v>443</v>
      </c>
      <c r="C515" s="66">
        <v>11933819477</v>
      </c>
      <c r="D515" s="66">
        <v>1</v>
      </c>
      <c r="E515" s="147" t="s">
        <v>171</v>
      </c>
      <c r="F515" s="96">
        <f>VLOOKUP(E515,CONFIGURAÇÃO!E:F,2,0)</f>
      </c>
      <c r="G515" s="147" t="s">
        <v>13</v>
      </c>
      <c r="H515" s="96">
        <f>IF(G515="CORTESIA",0,D515*F515)</f>
      </c>
      <c r="I515" s="147" t="s">
        <v>50</v>
      </c>
      <c r="J515" s="147" t="s">
        <v>74</v>
      </c>
      <c r="K515" s="147"/>
      <c r="L515" s="2"/>
      <c r="M515" s="1"/>
      <c r="N515" s="1"/>
      <c r="O515" s="1"/>
    </row>
    <row x14ac:dyDescent="0.25" r="516" customHeight="1" ht="18.75" hidden="1">
      <c r="A516" s="65" t="s">
        <v>45</v>
      </c>
      <c r="B516" s="147" t="s">
        <v>359</v>
      </c>
      <c r="C516" s="66">
        <v>11958246382</v>
      </c>
      <c r="D516" s="66">
        <v>2</v>
      </c>
      <c r="E516" s="147" t="s">
        <v>171</v>
      </c>
      <c r="F516" s="96">
        <f>VLOOKUP(E516,CONFIGURAÇÃO!E:F,2,0)</f>
      </c>
      <c r="G516" s="147" t="s">
        <v>13</v>
      </c>
      <c r="H516" s="96">
        <f>IF(G516="CORTESIA",0,D516*F516)</f>
      </c>
      <c r="I516" s="147" t="s">
        <v>50</v>
      </c>
      <c r="J516" s="147" t="s">
        <v>74</v>
      </c>
      <c r="K516" s="147" t="s">
        <v>393</v>
      </c>
      <c r="L516" s="2"/>
      <c r="M516" s="1"/>
      <c r="N516" s="1"/>
      <c r="O516" s="1"/>
    </row>
    <row x14ac:dyDescent="0.25" r="517" customHeight="1" ht="18.75" hidden="1">
      <c r="A517" s="65" t="s">
        <v>45</v>
      </c>
      <c r="B517" s="147" t="s">
        <v>231</v>
      </c>
      <c r="C517" s="66">
        <v>11974438009</v>
      </c>
      <c r="D517" s="66">
        <v>1</v>
      </c>
      <c r="E517" s="147" t="s">
        <v>171</v>
      </c>
      <c r="F517" s="96">
        <f>VLOOKUP(E517,CONFIGURAÇÃO!E:F,2,0)</f>
      </c>
      <c r="G517" s="147" t="s">
        <v>73</v>
      </c>
      <c r="H517" s="96">
        <f>IF(G517="CORTESIA",0,D517*F517)</f>
      </c>
      <c r="I517" s="147" t="s">
        <v>50</v>
      </c>
      <c r="J517" s="147" t="s">
        <v>74</v>
      </c>
      <c r="K517" s="147" t="s">
        <v>393</v>
      </c>
      <c r="L517" s="2"/>
      <c r="M517" s="1"/>
      <c r="N517" s="1"/>
      <c r="O517" s="1"/>
    </row>
    <row x14ac:dyDescent="0.25" r="518" customHeight="1" ht="18.75" hidden="1">
      <c r="A518" s="65" t="s">
        <v>45</v>
      </c>
      <c r="B518" s="147" t="s">
        <v>488</v>
      </c>
      <c r="C518" s="66">
        <v>11979647745</v>
      </c>
      <c r="D518" s="66">
        <v>1</v>
      </c>
      <c r="E518" s="147" t="s">
        <v>171</v>
      </c>
      <c r="F518" s="96">
        <f>VLOOKUP(E518,CONFIGURAÇÃO!E:F,2,0)</f>
      </c>
      <c r="G518" s="147" t="s">
        <v>13</v>
      </c>
      <c r="H518" s="96">
        <f>IF(G518="CORTESIA",0,D518*F518)</f>
      </c>
      <c r="I518" s="147" t="s">
        <v>50</v>
      </c>
      <c r="J518" s="147" t="s">
        <v>74</v>
      </c>
      <c r="K518" s="147"/>
      <c r="L518" s="2"/>
      <c r="M518" s="1"/>
      <c r="N518" s="1"/>
      <c r="O518" s="1"/>
    </row>
    <row x14ac:dyDescent="0.25" r="519" customHeight="1" ht="18.75" hidden="1">
      <c r="A519" s="65">
        <v>45689</v>
      </c>
      <c r="B519" s="147" t="s">
        <v>395</v>
      </c>
      <c r="C519" s="66">
        <v>11981536575</v>
      </c>
      <c r="D519" s="66">
        <v>1</v>
      </c>
      <c r="E519" s="147" t="s">
        <v>72</v>
      </c>
      <c r="F519" s="96">
        <f>VLOOKUP(E519,CONFIGURAÇÃO!E:F,2,0)</f>
      </c>
      <c r="G519" s="147" t="s">
        <v>13</v>
      </c>
      <c r="H519" s="96">
        <f>IF(G519="CORTESIA",0,D519*F519)</f>
      </c>
      <c r="I519" s="147" t="s">
        <v>50</v>
      </c>
      <c r="J519" s="147" t="s">
        <v>74</v>
      </c>
      <c r="K519" s="147"/>
      <c r="L519" s="2"/>
      <c r="M519" s="1"/>
      <c r="N519" s="1"/>
      <c r="O519" s="1"/>
    </row>
    <row x14ac:dyDescent="0.25" r="520" customHeight="1" ht="18.75" hidden="1">
      <c r="A520" s="65">
        <v>45689</v>
      </c>
      <c r="B520" s="147" t="s">
        <v>492</v>
      </c>
      <c r="C520" s="66">
        <v>11941279224</v>
      </c>
      <c r="D520" s="66">
        <v>2</v>
      </c>
      <c r="E520" s="147" t="s">
        <v>72</v>
      </c>
      <c r="F520" s="96">
        <f>VLOOKUP(E520,CONFIGURAÇÃO!E:F,2,0)</f>
      </c>
      <c r="G520" s="147" t="s">
        <v>13</v>
      </c>
      <c r="H520" s="96">
        <f>IF(G520="CORTESIA",0,D520*F520)</f>
      </c>
      <c r="I520" s="147" t="s">
        <v>50</v>
      </c>
      <c r="J520" s="147" t="s">
        <v>74</v>
      </c>
      <c r="K520" s="147"/>
      <c r="L520" s="2"/>
      <c r="M520" s="1"/>
      <c r="N520" s="1"/>
      <c r="O520" s="1"/>
    </row>
    <row x14ac:dyDescent="0.25" r="521" customHeight="1" ht="18.75" hidden="1">
      <c r="A521" s="65">
        <v>45717</v>
      </c>
      <c r="B521" s="147" t="s">
        <v>463</v>
      </c>
      <c r="C521" s="66">
        <v>11911771198</v>
      </c>
      <c r="D521" s="66">
        <v>1</v>
      </c>
      <c r="E521" s="147" t="s">
        <v>72</v>
      </c>
      <c r="F521" s="96">
        <f>VLOOKUP(E521,CONFIGURAÇÃO!E:F,2,0)</f>
      </c>
      <c r="G521" s="147" t="s">
        <v>13</v>
      </c>
      <c r="H521" s="96">
        <f>IF(G521="CORTESIA",0,D521*F521)</f>
      </c>
      <c r="I521" s="147" t="s">
        <v>50</v>
      </c>
      <c r="J521" s="147" t="s">
        <v>74</v>
      </c>
      <c r="K521" s="149"/>
      <c r="L521" s="2"/>
      <c r="M521" s="1"/>
      <c r="N521" s="1"/>
      <c r="O521" s="1"/>
    </row>
    <row x14ac:dyDescent="0.25" r="522" customHeight="1" ht="18.75" hidden="1">
      <c r="A522" s="65">
        <v>45689</v>
      </c>
      <c r="B522" s="147" t="s">
        <v>509</v>
      </c>
      <c r="C522" s="66">
        <v>11958528414</v>
      </c>
      <c r="D522" s="66">
        <v>1</v>
      </c>
      <c r="E522" s="147" t="s">
        <v>72</v>
      </c>
      <c r="F522" s="96">
        <f>VLOOKUP(E522,CONFIGURAÇÃO!E:F,2,0)</f>
      </c>
      <c r="G522" s="147" t="s">
        <v>13</v>
      </c>
      <c r="H522" s="96">
        <f>IF(G522="CORTESIA",0,D522*F522)</f>
      </c>
      <c r="I522" s="147" t="s">
        <v>50</v>
      </c>
      <c r="J522" s="147" t="s">
        <v>74</v>
      </c>
      <c r="K522" s="147"/>
      <c r="L522" s="2"/>
      <c r="M522" s="1"/>
      <c r="N522" s="1"/>
      <c r="O522" s="1"/>
    </row>
    <row x14ac:dyDescent="0.25" r="523" customHeight="1" ht="18.75" hidden="1">
      <c r="A523" s="65">
        <v>45689</v>
      </c>
      <c r="B523" s="147" t="s">
        <v>271</v>
      </c>
      <c r="C523" s="66">
        <v>11997623765</v>
      </c>
      <c r="D523" s="66">
        <v>1</v>
      </c>
      <c r="E523" s="147" t="s">
        <v>72</v>
      </c>
      <c r="F523" s="96">
        <f>VLOOKUP(E523,CONFIGURAÇÃO!E:F,2,0)</f>
      </c>
      <c r="G523" s="147" t="s">
        <v>13</v>
      </c>
      <c r="H523" s="96">
        <f>IF(G523="CORTESIA",0,D523*F523)</f>
      </c>
      <c r="I523" s="147" t="s">
        <v>50</v>
      </c>
      <c r="J523" s="147" t="s">
        <v>74</v>
      </c>
      <c r="K523" s="149"/>
      <c r="L523" s="2"/>
      <c r="M523" s="1"/>
      <c r="N523" s="1"/>
      <c r="O523" s="1"/>
    </row>
    <row x14ac:dyDescent="0.25" r="524" customHeight="1" ht="18.75" hidden="1">
      <c r="A524" s="65">
        <v>45689</v>
      </c>
      <c r="B524" s="147" t="s">
        <v>494</v>
      </c>
      <c r="C524" s="66">
        <v>11957849656</v>
      </c>
      <c r="D524" s="66">
        <v>4</v>
      </c>
      <c r="E524" s="147" t="s">
        <v>72</v>
      </c>
      <c r="F524" s="96">
        <f>VLOOKUP(E524,CONFIGURAÇÃO!E:F,2,0)</f>
      </c>
      <c r="G524" s="147" t="s">
        <v>73</v>
      </c>
      <c r="H524" s="96">
        <f>IF(G524="CORTESIA",0,D524*F524)</f>
      </c>
      <c r="I524" s="147" t="s">
        <v>50</v>
      </c>
      <c r="J524" s="147" t="s">
        <v>74</v>
      </c>
      <c r="K524" s="147" t="s">
        <v>393</v>
      </c>
      <c r="L524" s="2"/>
      <c r="M524" s="1"/>
      <c r="N524" s="1"/>
      <c r="O524" s="1"/>
    </row>
    <row x14ac:dyDescent="0.25" r="525" customHeight="1" ht="18.75" hidden="1">
      <c r="A525" s="65">
        <v>45689</v>
      </c>
      <c r="B525" s="147" t="s">
        <v>468</v>
      </c>
      <c r="C525" s="66">
        <v>11990199277</v>
      </c>
      <c r="D525" s="66">
        <v>1</v>
      </c>
      <c r="E525" s="147" t="s">
        <v>72</v>
      </c>
      <c r="F525" s="96">
        <f>VLOOKUP(E525,CONFIGURAÇÃO!E:F,2,0)</f>
      </c>
      <c r="G525" s="147" t="s">
        <v>73</v>
      </c>
      <c r="H525" s="96">
        <f>IF(G525="CORTESIA",0,D525*F525)</f>
      </c>
      <c r="I525" s="147" t="s">
        <v>50</v>
      </c>
      <c r="J525" s="147" t="s">
        <v>74</v>
      </c>
      <c r="K525" s="147" t="s">
        <v>469</v>
      </c>
      <c r="L525" s="2"/>
      <c r="M525" s="1"/>
      <c r="N525" s="1"/>
      <c r="O525" s="1"/>
    </row>
    <row x14ac:dyDescent="0.25" r="526" customHeight="1" ht="18.75" hidden="1">
      <c r="A526" s="65">
        <v>45689</v>
      </c>
      <c r="B526" s="147" t="s">
        <v>364</v>
      </c>
      <c r="C526" s="66">
        <v>11956495142</v>
      </c>
      <c r="D526" s="66">
        <v>1</v>
      </c>
      <c r="E526" s="147" t="s">
        <v>72</v>
      </c>
      <c r="F526" s="96">
        <f>VLOOKUP(E526,CONFIGURAÇÃO!E:F,2,0)</f>
      </c>
      <c r="G526" s="147" t="s">
        <v>13</v>
      </c>
      <c r="H526" s="96">
        <f>IF(G526="CORTESIA",0,D526*F526)</f>
      </c>
      <c r="I526" s="147" t="s">
        <v>50</v>
      </c>
      <c r="J526" s="147" t="s">
        <v>74</v>
      </c>
      <c r="K526" s="147"/>
      <c r="L526" s="2"/>
      <c r="M526" s="1"/>
      <c r="N526" s="1"/>
      <c r="O526" s="1"/>
    </row>
    <row x14ac:dyDescent="0.25" r="527" customHeight="1" ht="18.75" hidden="1">
      <c r="A527" s="65">
        <v>45689</v>
      </c>
      <c r="B527" s="147" t="s">
        <v>361</v>
      </c>
      <c r="C527" s="66">
        <v>11916962475</v>
      </c>
      <c r="D527" s="66">
        <v>1</v>
      </c>
      <c r="E527" s="147" t="s">
        <v>72</v>
      </c>
      <c r="F527" s="96">
        <f>VLOOKUP(E527,CONFIGURAÇÃO!E:F,2,0)</f>
      </c>
      <c r="G527" s="147" t="s">
        <v>13</v>
      </c>
      <c r="H527" s="96">
        <f>IF(G527="CORTESIA",0,D527*F527)</f>
      </c>
      <c r="I527" s="147" t="s">
        <v>50</v>
      </c>
      <c r="J527" s="147" t="s">
        <v>74</v>
      </c>
      <c r="K527" s="147"/>
      <c r="L527" s="2"/>
      <c r="M527" s="1"/>
      <c r="N527" s="1"/>
      <c r="O527" s="1"/>
    </row>
    <row x14ac:dyDescent="0.25" r="528" customHeight="1" ht="18.75" hidden="1">
      <c r="A528" s="65">
        <v>45689</v>
      </c>
      <c r="B528" s="147" t="s">
        <v>474</v>
      </c>
      <c r="C528" s="66">
        <v>11971669969</v>
      </c>
      <c r="D528" s="66">
        <v>1</v>
      </c>
      <c r="E528" s="147" t="s">
        <v>72</v>
      </c>
      <c r="F528" s="96">
        <f>VLOOKUP(E528,CONFIGURAÇÃO!E:F,2,0)</f>
      </c>
      <c r="G528" s="147" t="s">
        <v>13</v>
      </c>
      <c r="H528" s="96">
        <f>IF(G528="CORTESIA",0,D528*F528)</f>
      </c>
      <c r="I528" s="147" t="s">
        <v>50</v>
      </c>
      <c r="J528" s="147" t="s">
        <v>74</v>
      </c>
      <c r="K528" s="147"/>
      <c r="L528" s="2"/>
      <c r="M528" s="1"/>
      <c r="N528" s="1"/>
      <c r="O528" s="1"/>
    </row>
    <row x14ac:dyDescent="0.25" r="529" customHeight="1" ht="18.75" hidden="1">
      <c r="A529" s="65">
        <v>45689</v>
      </c>
      <c r="B529" s="147" t="s">
        <v>358</v>
      </c>
      <c r="C529" s="66">
        <v>11950239369</v>
      </c>
      <c r="D529" s="66">
        <v>1</v>
      </c>
      <c r="E529" s="147" t="s">
        <v>72</v>
      </c>
      <c r="F529" s="96">
        <f>VLOOKUP(E529,CONFIGURAÇÃO!E:F,2,0)</f>
      </c>
      <c r="G529" s="147" t="s">
        <v>13</v>
      </c>
      <c r="H529" s="96">
        <f>IF(G529="CORTESIA",0,D529*F529)</f>
      </c>
      <c r="I529" s="147" t="s">
        <v>50</v>
      </c>
      <c r="J529" s="147" t="s">
        <v>74</v>
      </c>
      <c r="K529" s="147"/>
      <c r="L529" s="2"/>
      <c r="M529" s="1"/>
      <c r="N529" s="1"/>
      <c r="O529" s="1"/>
    </row>
    <row x14ac:dyDescent="0.25" r="530" customHeight="1" ht="18.75" hidden="1">
      <c r="A530" s="65">
        <v>45689</v>
      </c>
      <c r="B530" s="147" t="s">
        <v>199</v>
      </c>
      <c r="C530" s="66">
        <v>11937409836</v>
      </c>
      <c r="D530" s="66">
        <v>1</v>
      </c>
      <c r="E530" s="147" t="s">
        <v>72</v>
      </c>
      <c r="F530" s="96">
        <f>VLOOKUP(E530,CONFIGURAÇÃO!E:F,2,0)</f>
      </c>
      <c r="G530" s="147" t="s">
        <v>13</v>
      </c>
      <c r="H530" s="96">
        <f>IF(G530="CORTESIA",0,D530*F530)</f>
      </c>
      <c r="I530" s="147" t="s">
        <v>50</v>
      </c>
      <c r="J530" s="147" t="s">
        <v>74</v>
      </c>
      <c r="K530" s="147"/>
      <c r="L530" s="2"/>
      <c r="M530" s="1"/>
      <c r="N530" s="1"/>
      <c r="O530" s="1"/>
    </row>
    <row x14ac:dyDescent="0.25" r="531" customHeight="1" ht="18.75" hidden="1">
      <c r="A531" s="65">
        <v>45689</v>
      </c>
      <c r="B531" s="147" t="s">
        <v>510</v>
      </c>
      <c r="C531" s="66">
        <v>11917646052</v>
      </c>
      <c r="D531" s="66">
        <v>2</v>
      </c>
      <c r="E531" s="147" t="s">
        <v>72</v>
      </c>
      <c r="F531" s="96">
        <f>VLOOKUP(E531,CONFIGURAÇÃO!E:F,2,0)</f>
      </c>
      <c r="G531" s="147" t="s">
        <v>13</v>
      </c>
      <c r="H531" s="96">
        <f>IF(G531="CORTESIA",0,D531*F531)</f>
      </c>
      <c r="I531" s="147" t="s">
        <v>50</v>
      </c>
      <c r="J531" s="147" t="s">
        <v>74</v>
      </c>
      <c r="K531" s="147"/>
      <c r="L531" s="2"/>
      <c r="M531" s="1"/>
      <c r="N531" s="1"/>
      <c r="O531" s="1"/>
    </row>
    <row x14ac:dyDescent="0.25" r="532" customHeight="1" ht="18.75" hidden="1">
      <c r="A532" s="65">
        <v>45689</v>
      </c>
      <c r="B532" s="147" t="s">
        <v>424</v>
      </c>
      <c r="C532" s="66">
        <v>11932597821</v>
      </c>
      <c r="D532" s="66">
        <v>4</v>
      </c>
      <c r="E532" s="147" t="s">
        <v>72</v>
      </c>
      <c r="F532" s="96">
        <f>VLOOKUP(E532,CONFIGURAÇÃO!E:F,2,0)</f>
      </c>
      <c r="G532" s="147" t="s">
        <v>73</v>
      </c>
      <c r="H532" s="96">
        <f>IF(G532="CORTESIA",0,D532*F532)</f>
      </c>
      <c r="I532" s="147" t="s">
        <v>50</v>
      </c>
      <c r="J532" s="147" t="s">
        <v>74</v>
      </c>
      <c r="K532" s="147" t="s">
        <v>393</v>
      </c>
      <c r="L532" s="2"/>
      <c r="M532" s="1"/>
      <c r="N532" s="1"/>
      <c r="O532" s="1"/>
    </row>
    <row x14ac:dyDescent="0.25" r="533" customHeight="1" ht="18.75" hidden="1">
      <c r="A533" s="65">
        <v>45689</v>
      </c>
      <c r="B533" s="147" t="s">
        <v>437</v>
      </c>
      <c r="C533" s="66">
        <v>11930797040</v>
      </c>
      <c r="D533" s="66">
        <v>1</v>
      </c>
      <c r="E533" s="147" t="s">
        <v>72</v>
      </c>
      <c r="F533" s="96">
        <f>VLOOKUP(E533,CONFIGURAÇÃO!E:F,2,0)</f>
      </c>
      <c r="G533" s="147" t="s">
        <v>13</v>
      </c>
      <c r="H533" s="96">
        <f>IF(G533="CORTESIA",0,D533*F533)</f>
      </c>
      <c r="I533" s="147" t="s">
        <v>50</v>
      </c>
      <c r="J533" s="147" t="s">
        <v>74</v>
      </c>
      <c r="K533" s="147"/>
      <c r="L533" s="2"/>
      <c r="M533" s="1"/>
      <c r="N533" s="1"/>
      <c r="O533" s="1"/>
    </row>
    <row x14ac:dyDescent="0.25" r="534" customHeight="1" ht="18.75" hidden="1">
      <c r="A534" s="65">
        <v>45689</v>
      </c>
      <c r="B534" s="147" t="s">
        <v>420</v>
      </c>
      <c r="C534" s="66">
        <v>11946028455</v>
      </c>
      <c r="D534" s="66">
        <v>1</v>
      </c>
      <c r="E534" s="147" t="s">
        <v>72</v>
      </c>
      <c r="F534" s="96">
        <f>VLOOKUP(E534,CONFIGURAÇÃO!E:F,2,0)</f>
      </c>
      <c r="G534" s="147" t="s">
        <v>73</v>
      </c>
      <c r="H534" s="96">
        <f>IF(G534="CORTESIA",0,D534*F534)</f>
      </c>
      <c r="I534" s="147" t="s">
        <v>50</v>
      </c>
      <c r="J534" s="147" t="s">
        <v>74</v>
      </c>
      <c r="K534" s="147" t="s">
        <v>393</v>
      </c>
      <c r="L534" s="2"/>
      <c r="M534" s="1"/>
      <c r="N534" s="1"/>
      <c r="O534" s="1"/>
    </row>
    <row x14ac:dyDescent="0.25" r="535" customHeight="1" ht="18.75" hidden="1">
      <c r="A535" s="65">
        <v>45689</v>
      </c>
      <c r="B535" s="147" t="s">
        <v>207</v>
      </c>
      <c r="C535" s="66">
        <v>11991103196</v>
      </c>
      <c r="D535" s="66">
        <v>1</v>
      </c>
      <c r="E535" s="147" t="s">
        <v>72</v>
      </c>
      <c r="F535" s="96">
        <f>VLOOKUP(E535,CONFIGURAÇÃO!E:F,2,0)</f>
      </c>
      <c r="G535" s="147" t="s">
        <v>13</v>
      </c>
      <c r="H535" s="96">
        <f>IF(G535="CORTESIA",0,D535*F535)</f>
      </c>
      <c r="I535" s="147" t="s">
        <v>50</v>
      </c>
      <c r="J535" s="147" t="s">
        <v>74</v>
      </c>
      <c r="K535" s="147"/>
      <c r="L535" s="2"/>
      <c r="M535" s="1"/>
      <c r="N535" s="1"/>
      <c r="O535" s="1"/>
    </row>
    <row x14ac:dyDescent="0.25" r="536" customHeight="1" ht="18.75" hidden="1">
      <c r="A536" s="65">
        <v>45689</v>
      </c>
      <c r="B536" s="147" t="s">
        <v>421</v>
      </c>
      <c r="C536" s="66">
        <v>11911036051</v>
      </c>
      <c r="D536" s="66">
        <v>1</v>
      </c>
      <c r="E536" s="147" t="s">
        <v>72</v>
      </c>
      <c r="F536" s="96">
        <f>VLOOKUP(E536,CONFIGURAÇÃO!E:F,2,0)</f>
      </c>
      <c r="G536" s="147" t="s">
        <v>73</v>
      </c>
      <c r="H536" s="96">
        <f>IF(G536="CORTESIA",0,D536*F536)</f>
      </c>
      <c r="I536" s="147" t="s">
        <v>50</v>
      </c>
      <c r="J536" s="147" t="s">
        <v>74</v>
      </c>
      <c r="K536" s="147"/>
      <c r="L536" s="2"/>
      <c r="M536" s="1"/>
      <c r="N536" s="1"/>
      <c r="O536" s="1"/>
    </row>
    <row x14ac:dyDescent="0.25" r="537" customHeight="1" ht="18.75" hidden="1">
      <c r="A537" s="65">
        <v>45689</v>
      </c>
      <c r="B537" s="147" t="s">
        <v>395</v>
      </c>
      <c r="C537" s="66">
        <v>11981536575</v>
      </c>
      <c r="D537" s="66">
        <v>1</v>
      </c>
      <c r="E537" s="147" t="s">
        <v>72</v>
      </c>
      <c r="F537" s="96">
        <f>VLOOKUP(E537,CONFIGURAÇÃO!E:F,2,0)</f>
      </c>
      <c r="G537" s="147" t="s">
        <v>20</v>
      </c>
      <c r="H537" s="96">
        <f>IF(G537="CORTESIA",0,D537*F537)</f>
      </c>
      <c r="I537" s="147" t="s">
        <v>50</v>
      </c>
      <c r="J537" s="147" t="s">
        <v>74</v>
      </c>
      <c r="K537" s="147"/>
      <c r="L537" s="2"/>
      <c r="M537" s="1"/>
      <c r="N537" s="1"/>
      <c r="O537" s="1"/>
    </row>
    <row x14ac:dyDescent="0.25" r="538" customHeight="1" ht="18.75" hidden="1">
      <c r="A538" s="65" t="s">
        <v>46</v>
      </c>
      <c r="B538" s="147" t="s">
        <v>494</v>
      </c>
      <c r="C538" s="66">
        <v>11957849656</v>
      </c>
      <c r="D538" s="66">
        <v>3</v>
      </c>
      <c r="E538" s="147" t="s">
        <v>72</v>
      </c>
      <c r="F538" s="96">
        <f>VLOOKUP(E538,CONFIGURAÇÃO!E:F,2,0)</f>
      </c>
      <c r="G538" s="147" t="s">
        <v>73</v>
      </c>
      <c r="H538" s="96">
        <f>IF(G538="CORTESIA",0,D538*F538)</f>
      </c>
      <c r="I538" s="147" t="s">
        <v>50</v>
      </c>
      <c r="J538" s="147" t="s">
        <v>74</v>
      </c>
      <c r="K538" s="147" t="s">
        <v>393</v>
      </c>
      <c r="L538" s="2"/>
      <c r="M538" s="1"/>
      <c r="N538" s="1"/>
      <c r="O538" s="1"/>
    </row>
    <row x14ac:dyDescent="0.25" r="539" customHeight="1" ht="18.75" hidden="1">
      <c r="A539" s="65" t="s">
        <v>46</v>
      </c>
      <c r="B539" s="147" t="s">
        <v>218</v>
      </c>
      <c r="C539" s="66">
        <v>11997414630</v>
      </c>
      <c r="D539" s="66">
        <v>1</v>
      </c>
      <c r="E539" s="147" t="s">
        <v>72</v>
      </c>
      <c r="F539" s="96">
        <f>VLOOKUP(E539,CONFIGURAÇÃO!E:F,2,0)</f>
      </c>
      <c r="G539" s="147" t="s">
        <v>13</v>
      </c>
      <c r="H539" s="96">
        <f>IF(G539="CORTESIA",0,D539*F539)</f>
      </c>
      <c r="I539" s="147" t="s">
        <v>50</v>
      </c>
      <c r="J539" s="147" t="s">
        <v>74</v>
      </c>
      <c r="K539" s="147"/>
      <c r="L539" s="2"/>
      <c r="M539" s="1"/>
      <c r="N539" s="1"/>
      <c r="O539" s="1"/>
    </row>
    <row x14ac:dyDescent="0.25" r="540" customHeight="1" ht="18.75" hidden="1">
      <c r="A540" s="65" t="s">
        <v>46</v>
      </c>
      <c r="B540" s="147" t="s">
        <v>357</v>
      </c>
      <c r="C540" s="66">
        <v>11977760176</v>
      </c>
      <c r="D540" s="66">
        <v>2</v>
      </c>
      <c r="E540" s="147" t="s">
        <v>78</v>
      </c>
      <c r="F540" s="96">
        <f>VLOOKUP(E540,CONFIGURAÇÃO!E:F,2,0)</f>
      </c>
      <c r="G540" s="147" t="s">
        <v>13</v>
      </c>
      <c r="H540" s="96">
        <f>IF(G540="CORTESIA",0,D540*F540)</f>
      </c>
      <c r="I540" s="147" t="s">
        <v>50</v>
      </c>
      <c r="J540" s="147" t="s">
        <v>74</v>
      </c>
      <c r="K540" s="147"/>
      <c r="L540" s="2"/>
      <c r="M540" s="1"/>
      <c r="N540" s="1"/>
      <c r="O540" s="1"/>
    </row>
    <row x14ac:dyDescent="0.25" r="541" customHeight="1" ht="18.75" hidden="1">
      <c r="A541" s="65" t="s">
        <v>46</v>
      </c>
      <c r="B541" s="147" t="s">
        <v>443</v>
      </c>
      <c r="C541" s="66">
        <v>11933819477</v>
      </c>
      <c r="D541" s="66">
        <v>1</v>
      </c>
      <c r="E541" s="147" t="s">
        <v>78</v>
      </c>
      <c r="F541" s="96">
        <f>VLOOKUP(E541,CONFIGURAÇÃO!E:F,2,0)</f>
      </c>
      <c r="G541" s="147" t="s">
        <v>13</v>
      </c>
      <c r="H541" s="96">
        <f>IF(G541="CORTESIA",0,D541*F541)</f>
      </c>
      <c r="I541" s="147" t="s">
        <v>50</v>
      </c>
      <c r="J541" s="147" t="s">
        <v>74</v>
      </c>
      <c r="K541" s="147"/>
      <c r="L541" s="2"/>
      <c r="M541" s="1"/>
      <c r="N541" s="1"/>
      <c r="O541" s="1"/>
    </row>
    <row x14ac:dyDescent="0.25" r="542" customHeight="1" ht="18.75" hidden="1">
      <c r="A542" s="65" t="s">
        <v>46</v>
      </c>
      <c r="B542" s="147" t="s">
        <v>284</v>
      </c>
      <c r="C542" s="66">
        <v>11934895406</v>
      </c>
      <c r="D542" s="66">
        <v>1</v>
      </c>
      <c r="E542" s="147" t="s">
        <v>78</v>
      </c>
      <c r="F542" s="96">
        <f>VLOOKUP(E542,CONFIGURAÇÃO!E:F,2,0)</f>
      </c>
      <c r="G542" s="147" t="s">
        <v>13</v>
      </c>
      <c r="H542" s="96">
        <f>IF(G542="CORTESIA",0,D542*F542)</f>
      </c>
      <c r="I542" s="147" t="s">
        <v>50</v>
      </c>
      <c r="J542" s="147" t="s">
        <v>74</v>
      </c>
      <c r="K542" s="147"/>
      <c r="L542" s="2"/>
      <c r="M542" s="1"/>
      <c r="N542" s="1"/>
      <c r="O542" s="1"/>
    </row>
    <row x14ac:dyDescent="0.25" r="543" customHeight="1" ht="18.75" hidden="1">
      <c r="A543" s="65" t="s">
        <v>46</v>
      </c>
      <c r="B543" s="147" t="s">
        <v>511</v>
      </c>
      <c r="C543" s="66"/>
      <c r="D543" s="66">
        <v>1</v>
      </c>
      <c r="E543" s="147" t="s">
        <v>72</v>
      </c>
      <c r="F543" s="96">
        <f>VLOOKUP(E543,CONFIGURAÇÃO!E:F,2,0)</f>
      </c>
      <c r="G543" s="147" t="s">
        <v>13</v>
      </c>
      <c r="H543" s="96">
        <f>IF(G543="CORTESIA",0,D543*F543)</f>
      </c>
      <c r="I543" s="147" t="s">
        <v>50</v>
      </c>
      <c r="J543" s="147" t="s">
        <v>74</v>
      </c>
      <c r="K543" s="147"/>
      <c r="L543" s="2"/>
      <c r="M543" s="1"/>
      <c r="N543" s="1"/>
      <c r="O543" s="1"/>
    </row>
    <row x14ac:dyDescent="0.25" r="544" customHeight="1" ht="18.75" hidden="1">
      <c r="A544" s="65" t="s">
        <v>46</v>
      </c>
      <c r="B544" s="147" t="s">
        <v>485</v>
      </c>
      <c r="C544" s="66">
        <v>11974899127</v>
      </c>
      <c r="D544" s="66">
        <v>1</v>
      </c>
      <c r="E544" s="147" t="s">
        <v>72</v>
      </c>
      <c r="F544" s="96">
        <f>VLOOKUP(E544,CONFIGURAÇÃO!E:F,2,0)</f>
      </c>
      <c r="G544" s="147" t="s">
        <v>73</v>
      </c>
      <c r="H544" s="96">
        <f>IF(G544="CORTESIA",0,D544*F544)</f>
      </c>
      <c r="I544" s="147" t="s">
        <v>50</v>
      </c>
      <c r="J544" s="147" t="s">
        <v>74</v>
      </c>
      <c r="K544" s="147"/>
      <c r="L544" s="2"/>
      <c r="M544" s="1"/>
      <c r="N544" s="1"/>
      <c r="O544" s="1"/>
    </row>
    <row x14ac:dyDescent="0.25" r="545" customHeight="1" ht="18.75" hidden="1">
      <c r="A545" s="65" t="s">
        <v>46</v>
      </c>
      <c r="B545" s="147" t="s">
        <v>204</v>
      </c>
      <c r="C545" s="66">
        <v>11955944416</v>
      </c>
      <c r="D545" s="66">
        <v>1</v>
      </c>
      <c r="E545" s="147" t="s">
        <v>72</v>
      </c>
      <c r="F545" s="96">
        <f>VLOOKUP(E545,CONFIGURAÇÃO!E:F,2,0)</f>
      </c>
      <c r="G545" s="147" t="s">
        <v>13</v>
      </c>
      <c r="H545" s="96">
        <f>IF(G545="CORTESIA",0,D545*F545)</f>
      </c>
      <c r="I545" s="147" t="s">
        <v>50</v>
      </c>
      <c r="J545" s="147" t="s">
        <v>74</v>
      </c>
      <c r="K545" s="147"/>
      <c r="L545" s="2"/>
      <c r="M545" s="1"/>
      <c r="N545" s="1"/>
      <c r="O545" s="1"/>
    </row>
    <row x14ac:dyDescent="0.25" r="546" customHeight="1" ht="18.75" hidden="1">
      <c r="A546" s="65" t="s">
        <v>46</v>
      </c>
      <c r="B546" s="147" t="s">
        <v>512</v>
      </c>
      <c r="C546" s="66">
        <v>11949122992</v>
      </c>
      <c r="D546" s="66">
        <v>1</v>
      </c>
      <c r="E546" s="147" t="s">
        <v>72</v>
      </c>
      <c r="F546" s="96">
        <f>VLOOKUP(E546,CONFIGURAÇÃO!E:F,2,0)</f>
      </c>
      <c r="G546" s="147" t="s">
        <v>13</v>
      </c>
      <c r="H546" s="96">
        <f>IF(G546="CORTESIA",0,D546*F546)</f>
      </c>
      <c r="I546" s="147" t="s">
        <v>50</v>
      </c>
      <c r="J546" s="147" t="s">
        <v>74</v>
      </c>
      <c r="K546" s="147"/>
      <c r="L546" s="2"/>
      <c r="M546" s="1"/>
      <c r="N546" s="1"/>
      <c r="O546" s="1"/>
    </row>
    <row x14ac:dyDescent="0.25" r="547" customHeight="1" ht="18.75" hidden="1">
      <c r="A547" s="65" t="s">
        <v>46</v>
      </c>
      <c r="B547" s="147" t="s">
        <v>312</v>
      </c>
      <c r="C547" s="66">
        <v>11957241015</v>
      </c>
      <c r="D547" s="66">
        <v>2</v>
      </c>
      <c r="E547" s="147" t="s">
        <v>433</v>
      </c>
      <c r="F547" s="96">
        <f>VLOOKUP(E547,CONFIGURAÇÃO!E:F,2,0)</f>
      </c>
      <c r="G547" s="147" t="s">
        <v>13</v>
      </c>
      <c r="H547" s="96">
        <f>IF(G547="CORTESIA",0,D547*F547)</f>
      </c>
      <c r="I547" s="147" t="s">
        <v>50</v>
      </c>
      <c r="J547" s="147" t="s">
        <v>74</v>
      </c>
      <c r="K547" s="147"/>
      <c r="L547" s="2"/>
      <c r="M547" s="1"/>
      <c r="N547" s="1"/>
      <c r="O547" s="1"/>
    </row>
    <row x14ac:dyDescent="0.25" r="548" customHeight="1" ht="18.75" hidden="1">
      <c r="A548" s="65" t="s">
        <v>46</v>
      </c>
      <c r="B548" s="147" t="s">
        <v>513</v>
      </c>
      <c r="C548" s="66">
        <v>11988971062</v>
      </c>
      <c r="D548" s="66">
        <v>2</v>
      </c>
      <c r="E548" s="147" t="s">
        <v>72</v>
      </c>
      <c r="F548" s="96">
        <f>VLOOKUP(E548,CONFIGURAÇÃO!E:F,2,0)</f>
      </c>
      <c r="G548" s="147" t="s">
        <v>13</v>
      </c>
      <c r="H548" s="96">
        <f>IF(G548="CORTESIA",0,D548*F548)</f>
      </c>
      <c r="I548" s="147" t="s">
        <v>50</v>
      </c>
      <c r="J548" s="147" t="s">
        <v>74</v>
      </c>
      <c r="K548" s="147"/>
      <c r="L548" s="2"/>
      <c r="M548" s="1"/>
      <c r="N548" s="1"/>
      <c r="O548" s="1"/>
    </row>
    <row x14ac:dyDescent="0.25" r="549" customHeight="1" ht="18.75" hidden="1">
      <c r="A549" s="65">
        <v>45719</v>
      </c>
      <c r="B549" s="147" t="s">
        <v>218</v>
      </c>
      <c r="C549" s="66">
        <v>11997414630</v>
      </c>
      <c r="D549" s="66">
        <v>1</v>
      </c>
      <c r="E549" s="147" t="s">
        <v>78</v>
      </c>
      <c r="F549" s="96">
        <f>VLOOKUP(E549,CONFIGURAÇÃO!E:F,2,0)</f>
      </c>
      <c r="G549" s="147" t="s">
        <v>13</v>
      </c>
      <c r="H549" s="96">
        <f>IF(G549="CORTESIA",0,D549*F549)</f>
      </c>
      <c r="I549" s="147" t="s">
        <v>50</v>
      </c>
      <c r="J549" s="147" t="s">
        <v>74</v>
      </c>
      <c r="K549" s="147"/>
      <c r="L549" s="2"/>
      <c r="M549" s="1"/>
      <c r="N549" s="1"/>
      <c r="O549" s="1"/>
    </row>
    <row x14ac:dyDescent="0.25" r="550" customHeight="1" ht="18.75" hidden="1">
      <c r="A550" s="65">
        <v>45719</v>
      </c>
      <c r="B550" s="147" t="s">
        <v>324</v>
      </c>
      <c r="C550" s="66">
        <v>11972383586</v>
      </c>
      <c r="D550" s="66">
        <v>1</v>
      </c>
      <c r="E550" s="147" t="s">
        <v>78</v>
      </c>
      <c r="F550" s="96">
        <f>VLOOKUP(E550,CONFIGURAÇÃO!E:F,2,0)</f>
      </c>
      <c r="G550" s="147" t="s">
        <v>13</v>
      </c>
      <c r="H550" s="96">
        <f>IF(G550="CORTESIA",0,D550*F550)</f>
      </c>
      <c r="I550" s="147" t="s">
        <v>50</v>
      </c>
      <c r="J550" s="147" t="s">
        <v>74</v>
      </c>
      <c r="K550" s="147"/>
      <c r="L550" s="2"/>
      <c r="M550" s="1"/>
      <c r="N550" s="1"/>
      <c r="O550" s="1"/>
    </row>
    <row x14ac:dyDescent="0.25" r="551" customHeight="1" ht="18.75" hidden="1">
      <c r="A551" s="65">
        <v>45719</v>
      </c>
      <c r="B551" s="147" t="s">
        <v>282</v>
      </c>
      <c r="C551" s="66">
        <v>11997474393</v>
      </c>
      <c r="D551" s="66">
        <v>1</v>
      </c>
      <c r="E551" s="147" t="s">
        <v>78</v>
      </c>
      <c r="F551" s="96">
        <f>VLOOKUP(E551,CONFIGURAÇÃO!E:F,2,0)</f>
      </c>
      <c r="G551" s="147" t="s">
        <v>73</v>
      </c>
      <c r="H551" s="96">
        <f>IF(G551="CORTESIA",0,D551*F551)</f>
      </c>
      <c r="I551" s="147" t="s">
        <v>50</v>
      </c>
      <c r="J551" s="147" t="s">
        <v>74</v>
      </c>
      <c r="K551" s="147" t="s">
        <v>393</v>
      </c>
      <c r="L551" s="2"/>
      <c r="M551" s="1"/>
      <c r="N551" s="1"/>
      <c r="O551" s="1"/>
    </row>
    <row x14ac:dyDescent="0.25" r="552" customHeight="1" ht="18.75" hidden="1">
      <c r="A552" s="65">
        <v>45719</v>
      </c>
      <c r="B552" s="147" t="s">
        <v>302</v>
      </c>
      <c r="C552" s="66">
        <v>11975037390</v>
      </c>
      <c r="D552" s="66">
        <v>1</v>
      </c>
      <c r="E552" s="147" t="s">
        <v>78</v>
      </c>
      <c r="F552" s="96">
        <f>VLOOKUP(E552,CONFIGURAÇÃO!E:F,2,0)</f>
      </c>
      <c r="G552" s="147" t="s">
        <v>73</v>
      </c>
      <c r="H552" s="96">
        <f>IF(G552="CORTESIA",0,D552*F552)</f>
      </c>
      <c r="I552" s="147" t="s">
        <v>50</v>
      </c>
      <c r="J552" s="147" t="s">
        <v>74</v>
      </c>
      <c r="K552" s="147" t="s">
        <v>393</v>
      </c>
      <c r="L552" s="2"/>
      <c r="M552" s="1"/>
      <c r="N552" s="1"/>
      <c r="O552" s="1"/>
    </row>
    <row x14ac:dyDescent="0.25" r="553" customHeight="1" ht="18.75" hidden="1">
      <c r="A553" s="65">
        <v>45719</v>
      </c>
      <c r="B553" s="147" t="s">
        <v>461</v>
      </c>
      <c r="C553" s="66">
        <v>11947131975</v>
      </c>
      <c r="D553" s="66">
        <v>2</v>
      </c>
      <c r="E553" s="147" t="s">
        <v>72</v>
      </c>
      <c r="F553" s="96">
        <f>VLOOKUP(E553,CONFIGURAÇÃO!E:F,2,0)</f>
      </c>
      <c r="G553" s="147" t="s">
        <v>13</v>
      </c>
      <c r="H553" s="96">
        <f>IF(G553="CORTESIA",0,D553*F553)</f>
      </c>
      <c r="I553" s="147" t="s">
        <v>50</v>
      </c>
      <c r="J553" s="147" t="s">
        <v>74</v>
      </c>
      <c r="K553" s="147"/>
      <c r="L553" s="2"/>
      <c r="M553" s="1"/>
      <c r="N553" s="1"/>
      <c r="O553" s="1"/>
    </row>
    <row x14ac:dyDescent="0.25" r="554" customHeight="1" ht="18.75" hidden="1">
      <c r="A554" s="65">
        <v>45719</v>
      </c>
      <c r="B554" s="147" t="s">
        <v>468</v>
      </c>
      <c r="C554" s="66">
        <v>11990199277</v>
      </c>
      <c r="D554" s="66">
        <v>1</v>
      </c>
      <c r="E554" s="147" t="s">
        <v>72</v>
      </c>
      <c r="F554" s="96">
        <f>VLOOKUP(E554,CONFIGURAÇÃO!E:F,2,0)</f>
      </c>
      <c r="G554" s="147" t="s">
        <v>73</v>
      </c>
      <c r="H554" s="96">
        <f>IF(G554="CORTESIA",0,D554*F554)</f>
      </c>
      <c r="I554" s="147" t="s">
        <v>50</v>
      </c>
      <c r="J554" s="147" t="s">
        <v>74</v>
      </c>
      <c r="K554" s="147" t="s">
        <v>469</v>
      </c>
      <c r="L554" s="2"/>
      <c r="M554" s="1"/>
      <c r="N554" s="1"/>
      <c r="O554" s="1"/>
    </row>
    <row x14ac:dyDescent="0.25" r="555" customHeight="1" ht="18.75" hidden="1">
      <c r="A555" s="65">
        <v>45719</v>
      </c>
      <c r="B555" s="147" t="s">
        <v>468</v>
      </c>
      <c r="C555" s="66">
        <v>11990199277</v>
      </c>
      <c r="D555" s="66">
        <v>1</v>
      </c>
      <c r="E555" s="147" t="s">
        <v>78</v>
      </c>
      <c r="F555" s="96">
        <f>VLOOKUP(E555,CONFIGURAÇÃO!E:F,2,0)</f>
      </c>
      <c r="G555" s="147" t="s">
        <v>73</v>
      </c>
      <c r="H555" s="96">
        <f>IF(G555="CORTESIA",0,D555*F555)</f>
      </c>
      <c r="I555" s="147" t="s">
        <v>50</v>
      </c>
      <c r="J555" s="147" t="s">
        <v>74</v>
      </c>
      <c r="K555" s="147" t="s">
        <v>469</v>
      </c>
      <c r="L555" s="2"/>
      <c r="M555" s="1"/>
      <c r="N555" s="1"/>
      <c r="O555" s="1"/>
    </row>
    <row x14ac:dyDescent="0.25" r="556" customHeight="1" ht="18.75" hidden="1">
      <c r="A556" s="65">
        <v>45719</v>
      </c>
      <c r="B556" s="147" t="s">
        <v>480</v>
      </c>
      <c r="C556" s="66">
        <v>11930512736</v>
      </c>
      <c r="D556" s="66">
        <v>1</v>
      </c>
      <c r="E556" s="147" t="s">
        <v>183</v>
      </c>
      <c r="F556" s="96">
        <f>VLOOKUP(E556,CONFIGURAÇÃO!E:F,2,0)</f>
      </c>
      <c r="G556" s="147" t="s">
        <v>13</v>
      </c>
      <c r="H556" s="96">
        <f>IF(G556="CORTESIA",0,D556*F556)</f>
      </c>
      <c r="I556" s="147" t="s">
        <v>50</v>
      </c>
      <c r="J556" s="147" t="s">
        <v>74</v>
      </c>
      <c r="K556" s="147"/>
      <c r="L556" s="2"/>
      <c r="M556" s="1"/>
      <c r="N556" s="1"/>
      <c r="O556" s="1"/>
    </row>
    <row x14ac:dyDescent="0.25" r="557" customHeight="1" ht="18.75" hidden="1">
      <c r="A557" s="65">
        <v>45719</v>
      </c>
      <c r="B557" s="147" t="s">
        <v>427</v>
      </c>
      <c r="C557" s="66">
        <v>11987159059</v>
      </c>
      <c r="D557" s="66">
        <v>1</v>
      </c>
      <c r="E557" s="147" t="s">
        <v>72</v>
      </c>
      <c r="F557" s="96">
        <f>VLOOKUP(E557,CONFIGURAÇÃO!E:F,2,0)</f>
      </c>
      <c r="G557" s="147" t="s">
        <v>73</v>
      </c>
      <c r="H557" s="96">
        <f>IF(G557="CORTESIA",0,D557*F557)</f>
      </c>
      <c r="I557" s="147" t="s">
        <v>50</v>
      </c>
      <c r="J557" s="147" t="s">
        <v>74</v>
      </c>
      <c r="K557" s="149" t="s">
        <v>428</v>
      </c>
      <c r="L557" s="2"/>
      <c r="M557" s="1"/>
      <c r="N557" s="1"/>
      <c r="O557" s="1"/>
    </row>
    <row x14ac:dyDescent="0.25" r="558" customHeight="1" ht="18.75" hidden="1">
      <c r="A558" s="65">
        <v>45719</v>
      </c>
      <c r="B558" s="147" t="s">
        <v>463</v>
      </c>
      <c r="C558" s="66">
        <v>11911771198</v>
      </c>
      <c r="D558" s="66">
        <v>3</v>
      </c>
      <c r="E558" s="147" t="s">
        <v>72</v>
      </c>
      <c r="F558" s="96">
        <f>VLOOKUP(E558,CONFIGURAÇÃO!E:F,2,0)</f>
      </c>
      <c r="G558" s="147" t="s">
        <v>13</v>
      </c>
      <c r="H558" s="96">
        <f>IF(G558="CORTESIA",0,D558*F558)</f>
      </c>
      <c r="I558" s="147" t="s">
        <v>50</v>
      </c>
      <c r="J558" s="147" t="s">
        <v>74</v>
      </c>
      <c r="K558" s="149"/>
      <c r="L558" s="2"/>
      <c r="M558" s="1"/>
      <c r="N558" s="1"/>
      <c r="O558" s="1"/>
    </row>
    <row x14ac:dyDescent="0.25" r="559" customHeight="1" ht="18.75" hidden="1">
      <c r="A559" s="65">
        <v>45719</v>
      </c>
      <c r="B559" s="147" t="s">
        <v>312</v>
      </c>
      <c r="C559" s="66">
        <v>11957241015</v>
      </c>
      <c r="D559" s="66">
        <v>1</v>
      </c>
      <c r="E559" s="147" t="s">
        <v>72</v>
      </c>
      <c r="F559" s="96">
        <f>VLOOKUP(E559,CONFIGURAÇÃO!E:F,2,0)</f>
      </c>
      <c r="G559" s="147" t="s">
        <v>13</v>
      </c>
      <c r="H559" s="96">
        <f>IF(G559="CORTESIA",0,D559*F559)</f>
      </c>
      <c r="I559" s="147" t="s">
        <v>50</v>
      </c>
      <c r="J559" s="147" t="s">
        <v>74</v>
      </c>
      <c r="K559" s="147"/>
      <c r="L559" s="2"/>
      <c r="M559" s="1"/>
      <c r="N559" s="1"/>
      <c r="O559" s="1"/>
    </row>
    <row x14ac:dyDescent="0.25" r="560" customHeight="1" ht="18.75" hidden="1">
      <c r="A560" s="65">
        <v>45719</v>
      </c>
      <c r="B560" s="147" t="s">
        <v>488</v>
      </c>
      <c r="C560" s="66">
        <v>11979647745</v>
      </c>
      <c r="D560" s="66">
        <v>1</v>
      </c>
      <c r="E560" s="147" t="s">
        <v>72</v>
      </c>
      <c r="F560" s="96">
        <f>VLOOKUP(E560,CONFIGURAÇÃO!E:F,2,0)</f>
      </c>
      <c r="G560" s="147" t="s">
        <v>13</v>
      </c>
      <c r="H560" s="96">
        <f>IF(G560="CORTESIA",0,D560*F560)</f>
      </c>
      <c r="I560" s="147" t="s">
        <v>50</v>
      </c>
      <c r="J560" s="147" t="s">
        <v>74</v>
      </c>
      <c r="K560" s="147"/>
      <c r="L560" s="2"/>
      <c r="M560" s="1"/>
      <c r="N560" s="1"/>
      <c r="O560" s="1"/>
    </row>
    <row x14ac:dyDescent="0.25" r="561" customHeight="1" ht="18.75" hidden="1">
      <c r="A561" s="65">
        <v>45719</v>
      </c>
      <c r="B561" s="147" t="s">
        <v>348</v>
      </c>
      <c r="C561" s="169" t="s">
        <v>514</v>
      </c>
      <c r="D561" s="66">
        <v>1</v>
      </c>
      <c r="E561" s="147" t="s">
        <v>72</v>
      </c>
      <c r="F561" s="96">
        <f>VLOOKUP(E561,CONFIGURAÇÃO!E:F,2,0)</f>
      </c>
      <c r="G561" s="147" t="s">
        <v>13</v>
      </c>
      <c r="H561" s="96">
        <f>IF(G561="CORTESIA",0,D561*F561)</f>
      </c>
      <c r="I561" s="147" t="s">
        <v>50</v>
      </c>
      <c r="J561" s="147" t="s">
        <v>74</v>
      </c>
      <c r="K561" s="147"/>
      <c r="L561" s="2"/>
      <c r="M561" s="1"/>
      <c r="N561" s="1"/>
      <c r="O561" s="1"/>
    </row>
    <row x14ac:dyDescent="0.25" r="562" customHeight="1" ht="18.75" hidden="1">
      <c r="A562" s="65">
        <v>45719</v>
      </c>
      <c r="B562" s="147" t="s">
        <v>515</v>
      </c>
      <c r="C562" s="169" t="s">
        <v>516</v>
      </c>
      <c r="D562" s="66">
        <v>1</v>
      </c>
      <c r="E562" s="147" t="s">
        <v>72</v>
      </c>
      <c r="F562" s="96">
        <f>VLOOKUP(E562,CONFIGURAÇÃO!E:F,2,0)</f>
      </c>
      <c r="G562" s="147" t="s">
        <v>13</v>
      </c>
      <c r="H562" s="96">
        <f>IF(G562="CORTESIA",0,D562*F562)</f>
      </c>
      <c r="I562" s="147" t="s">
        <v>50</v>
      </c>
      <c r="J562" s="147" t="s">
        <v>74</v>
      </c>
      <c r="K562" s="147"/>
      <c r="L562" s="2"/>
      <c r="M562" s="1"/>
      <c r="N562" s="1"/>
      <c r="O562" s="1"/>
    </row>
    <row x14ac:dyDescent="0.25" r="563" customHeight="1" ht="18.75" hidden="1">
      <c r="A563" s="65" t="s">
        <v>47</v>
      </c>
      <c r="B563" s="147" t="s">
        <v>366</v>
      </c>
      <c r="C563" s="66">
        <v>11913545093</v>
      </c>
      <c r="D563" s="66">
        <v>1</v>
      </c>
      <c r="E563" s="147" t="s">
        <v>171</v>
      </c>
      <c r="F563" s="96">
        <f>VLOOKUP(E563,CONFIGURAÇÃO!E:F,2,0)</f>
      </c>
      <c r="G563" s="147" t="s">
        <v>13</v>
      </c>
      <c r="H563" s="96">
        <f>IF(G563="CORTESIA",0,D563*F563)</f>
      </c>
      <c r="I563" s="147" t="s">
        <v>50</v>
      </c>
      <c r="J563" s="147" t="s">
        <v>74</v>
      </c>
      <c r="K563" s="147"/>
      <c r="L563" s="2"/>
      <c r="M563" s="1"/>
      <c r="N563" s="1"/>
      <c r="O563" s="1"/>
    </row>
    <row x14ac:dyDescent="0.25" r="564" customHeight="1" ht="18.75" hidden="1">
      <c r="A564" s="65" t="s">
        <v>47</v>
      </c>
      <c r="B564" s="147" t="s">
        <v>517</v>
      </c>
      <c r="C564" s="169" t="s">
        <v>518</v>
      </c>
      <c r="D564" s="66">
        <v>2</v>
      </c>
      <c r="E564" s="147" t="s">
        <v>171</v>
      </c>
      <c r="F564" s="96">
        <f>VLOOKUP(E564,CONFIGURAÇÃO!E:F,2,0)</f>
      </c>
      <c r="G564" s="147" t="s">
        <v>13</v>
      </c>
      <c r="H564" s="96">
        <f>IF(G564="CORTESIA",0,D564*F564)</f>
      </c>
      <c r="I564" s="147" t="s">
        <v>50</v>
      </c>
      <c r="J564" s="147" t="s">
        <v>74</v>
      </c>
      <c r="K564" s="147"/>
      <c r="L564" s="2"/>
      <c r="M564" s="1"/>
      <c r="N564" s="1"/>
      <c r="O564" s="1"/>
    </row>
    <row x14ac:dyDescent="0.25" r="565" customHeight="1" ht="18.75" hidden="1">
      <c r="A565" s="65" t="s">
        <v>47</v>
      </c>
      <c r="B565" s="147" t="s">
        <v>212</v>
      </c>
      <c r="C565" s="66"/>
      <c r="D565" s="66">
        <v>2</v>
      </c>
      <c r="E565" s="147" t="s">
        <v>433</v>
      </c>
      <c r="F565" s="96">
        <f>VLOOKUP(E565,CONFIGURAÇÃO!E:F,2,0)</f>
      </c>
      <c r="G565" s="147" t="s">
        <v>13</v>
      </c>
      <c r="H565" s="96">
        <f>IF(G565="CORTESIA",0,D565*F565)</f>
      </c>
      <c r="I565" s="147" t="s">
        <v>50</v>
      </c>
      <c r="J565" s="147" t="s">
        <v>74</v>
      </c>
      <c r="K565" s="147"/>
      <c r="L565" s="2"/>
      <c r="M565" s="1"/>
      <c r="N565" s="1"/>
      <c r="O565" s="1"/>
    </row>
    <row x14ac:dyDescent="0.25" r="566" customHeight="1" ht="18.75" hidden="1">
      <c r="A566" s="65" t="s">
        <v>47</v>
      </c>
      <c r="B566" s="147" t="s">
        <v>519</v>
      </c>
      <c r="C566" s="169" t="s">
        <v>520</v>
      </c>
      <c r="D566" s="66">
        <v>2</v>
      </c>
      <c r="E566" s="147" t="s">
        <v>433</v>
      </c>
      <c r="F566" s="96">
        <f>VLOOKUP(E566,CONFIGURAÇÃO!E:F,2,0)</f>
      </c>
      <c r="G566" s="147" t="s">
        <v>13</v>
      </c>
      <c r="H566" s="96">
        <f>IF(G566="CORTESIA",0,D566*F566)</f>
      </c>
      <c r="I566" s="147" t="s">
        <v>50</v>
      </c>
      <c r="J566" s="147" t="s">
        <v>74</v>
      </c>
      <c r="K566" s="147"/>
      <c r="L566" s="2"/>
      <c r="M566" s="1"/>
      <c r="N566" s="1"/>
      <c r="O566" s="1"/>
    </row>
    <row x14ac:dyDescent="0.25" r="567" customHeight="1" ht="18.75" hidden="1">
      <c r="A567" s="65" t="s">
        <v>47</v>
      </c>
      <c r="B567" s="147" t="s">
        <v>231</v>
      </c>
      <c r="C567" s="66">
        <v>11974438009</v>
      </c>
      <c r="D567" s="66">
        <v>1</v>
      </c>
      <c r="E567" s="147" t="s">
        <v>171</v>
      </c>
      <c r="F567" s="96">
        <f>VLOOKUP(E567,CONFIGURAÇÃO!E:F,2,0)</f>
      </c>
      <c r="G567" s="147" t="s">
        <v>52</v>
      </c>
      <c r="H567" s="96">
        <f>IF(G567="CORTESIA",0,D567*F567)</f>
      </c>
      <c r="I567" s="147" t="s">
        <v>50</v>
      </c>
      <c r="J567" s="147" t="s">
        <v>74</v>
      </c>
      <c r="K567" s="147"/>
      <c r="L567" s="2"/>
      <c r="M567" s="1"/>
      <c r="N567" s="1"/>
      <c r="O567" s="1"/>
    </row>
    <row x14ac:dyDescent="0.25" r="568" customHeight="1" ht="18.75" hidden="1">
      <c r="A568" s="65" t="s">
        <v>47</v>
      </c>
      <c r="B568" s="147" t="s">
        <v>245</v>
      </c>
      <c r="C568" s="66">
        <v>11975763190</v>
      </c>
      <c r="D568" s="66">
        <v>2</v>
      </c>
      <c r="E568" s="147" t="s">
        <v>171</v>
      </c>
      <c r="F568" s="96">
        <f>VLOOKUP(E568,CONFIGURAÇÃO!E:F,2,0)</f>
      </c>
      <c r="G568" s="147" t="s">
        <v>52</v>
      </c>
      <c r="H568" s="96">
        <f>IF(G568="CORTESIA",0,D568*F568)</f>
      </c>
      <c r="I568" s="147" t="s">
        <v>50</v>
      </c>
      <c r="J568" s="147" t="s">
        <v>74</v>
      </c>
      <c r="K568" s="147"/>
      <c r="L568" s="2"/>
      <c r="M568" s="1"/>
      <c r="N568" s="1"/>
      <c r="O568" s="1"/>
    </row>
    <row x14ac:dyDescent="0.25" r="569" customHeight="1" ht="18.75" hidden="1">
      <c r="A569" s="65" t="s">
        <v>47</v>
      </c>
      <c r="B569" s="147" t="s">
        <v>470</v>
      </c>
      <c r="C569" s="66">
        <v>11910773358</v>
      </c>
      <c r="D569" s="66">
        <v>1</v>
      </c>
      <c r="E569" s="147" t="s">
        <v>171</v>
      </c>
      <c r="F569" s="96">
        <f>VLOOKUP(E569,CONFIGURAÇÃO!E:F,2,0)</f>
      </c>
      <c r="G569" s="147" t="s">
        <v>52</v>
      </c>
      <c r="H569" s="96">
        <f>IF(G569="CORTESIA",0,D569*F569)</f>
      </c>
      <c r="I569" s="147" t="s">
        <v>50</v>
      </c>
      <c r="J569" s="147" t="s">
        <v>74</v>
      </c>
      <c r="K569" s="147"/>
      <c r="L569" s="2"/>
      <c r="M569" s="1"/>
      <c r="N569" s="1"/>
      <c r="O569" s="1"/>
    </row>
    <row x14ac:dyDescent="0.25" r="570" customHeight="1" ht="18.75" hidden="1">
      <c r="A570" s="65" t="s">
        <v>47</v>
      </c>
      <c r="B570" s="147" t="s">
        <v>513</v>
      </c>
      <c r="C570" s="66">
        <v>11988971062</v>
      </c>
      <c r="D570" s="66">
        <v>2</v>
      </c>
      <c r="E570" s="147" t="s">
        <v>171</v>
      </c>
      <c r="F570" s="96">
        <f>VLOOKUP(E570,CONFIGURAÇÃO!E:F,2,0)</f>
      </c>
      <c r="G570" s="147" t="s">
        <v>13</v>
      </c>
      <c r="H570" s="96">
        <f>IF(G570="CORTESIA",0,D570*F570)</f>
      </c>
      <c r="I570" s="147" t="s">
        <v>50</v>
      </c>
      <c r="J570" s="147" t="s">
        <v>74</v>
      </c>
      <c r="K570" s="147"/>
      <c r="L570" s="2"/>
      <c r="M570" s="1"/>
      <c r="N570" s="1"/>
      <c r="O570" s="1"/>
    </row>
    <row x14ac:dyDescent="0.25" r="571" customHeight="1" ht="18.75" hidden="1">
      <c r="A571" s="65" t="s">
        <v>47</v>
      </c>
      <c r="B571" s="147" t="s">
        <v>521</v>
      </c>
      <c r="C571" s="66"/>
      <c r="D571" s="66">
        <v>1</v>
      </c>
      <c r="E571" s="147" t="s">
        <v>171</v>
      </c>
      <c r="F571" s="96">
        <f>VLOOKUP(E571,CONFIGURAÇÃO!E:F,2,0)</f>
      </c>
      <c r="G571" s="147" t="s">
        <v>13</v>
      </c>
      <c r="H571" s="96">
        <f>IF(G571="CORTESIA",0,D571*F571)</f>
      </c>
      <c r="I571" s="147" t="s">
        <v>50</v>
      </c>
      <c r="J571" s="147" t="s">
        <v>74</v>
      </c>
      <c r="K571" s="147"/>
      <c r="L571" s="2"/>
      <c r="M571" s="1"/>
      <c r="N571" s="1"/>
      <c r="O571" s="1"/>
    </row>
    <row x14ac:dyDescent="0.25" r="572" customHeight="1" ht="18.75" hidden="1">
      <c r="A572" s="65" t="s">
        <v>47</v>
      </c>
      <c r="B572" s="147" t="s">
        <v>201</v>
      </c>
      <c r="C572" s="66">
        <v>11978760052</v>
      </c>
      <c r="D572" s="66">
        <v>2</v>
      </c>
      <c r="E572" s="147" t="s">
        <v>72</v>
      </c>
      <c r="F572" s="96">
        <f>VLOOKUP(E572,CONFIGURAÇÃO!E:F,2,0)</f>
      </c>
      <c r="G572" s="147" t="s">
        <v>13</v>
      </c>
      <c r="H572" s="96">
        <f>IF(G572="CORTESIA",0,D572*F572)</f>
      </c>
      <c r="I572" s="147" t="s">
        <v>50</v>
      </c>
      <c r="J572" s="147" t="s">
        <v>74</v>
      </c>
      <c r="K572" s="147"/>
      <c r="L572" s="2"/>
      <c r="M572" s="1"/>
      <c r="N572" s="1"/>
      <c r="O572" s="1"/>
    </row>
    <row x14ac:dyDescent="0.25" r="573" customHeight="1" ht="18.75" hidden="1">
      <c r="A573" s="65" t="s">
        <v>47</v>
      </c>
      <c r="B573" s="147" t="s">
        <v>225</v>
      </c>
      <c r="C573" s="169" t="s">
        <v>522</v>
      </c>
      <c r="D573" s="66">
        <v>1</v>
      </c>
      <c r="E573" s="147" t="s">
        <v>171</v>
      </c>
      <c r="F573" s="96">
        <f>VLOOKUP(E573,CONFIGURAÇÃO!E:F,2,0)</f>
      </c>
      <c r="G573" s="147" t="s">
        <v>13</v>
      </c>
      <c r="H573" s="96">
        <f>IF(G573="CORTESIA",0,D573*F573)</f>
      </c>
      <c r="I573" s="147" t="s">
        <v>50</v>
      </c>
      <c r="J573" s="147" t="s">
        <v>74</v>
      </c>
      <c r="K573" s="147"/>
      <c r="L573" s="2"/>
      <c r="M573" s="1"/>
      <c r="N573" s="1"/>
      <c r="O573" s="1"/>
    </row>
    <row x14ac:dyDescent="0.25" r="574" customHeight="1" ht="18.75" hidden="1">
      <c r="A574" s="65" t="s">
        <v>47</v>
      </c>
      <c r="B574" s="147" t="s">
        <v>264</v>
      </c>
      <c r="C574" s="66">
        <v>11964330586</v>
      </c>
      <c r="D574" s="66">
        <v>1</v>
      </c>
      <c r="E574" s="147" t="s">
        <v>171</v>
      </c>
      <c r="F574" s="96">
        <f>VLOOKUP(E574,CONFIGURAÇÃO!E:F,2,0)</f>
      </c>
      <c r="G574" s="147" t="s">
        <v>13</v>
      </c>
      <c r="H574" s="96">
        <f>IF(G574="CORTESIA",0,D574*F574)</f>
      </c>
      <c r="I574" s="147" t="s">
        <v>50</v>
      </c>
      <c r="J574" s="147" t="s">
        <v>74</v>
      </c>
      <c r="K574" s="147"/>
      <c r="L574" s="2"/>
      <c r="M574" s="1"/>
      <c r="N574" s="1"/>
      <c r="O574" s="1"/>
    </row>
    <row x14ac:dyDescent="0.25" r="575" customHeight="1" ht="18.75" hidden="1">
      <c r="A575" s="65" t="s">
        <v>47</v>
      </c>
      <c r="B575" s="147" t="s">
        <v>523</v>
      </c>
      <c r="C575" s="66">
        <v>11956078403</v>
      </c>
      <c r="D575" s="66">
        <v>1</v>
      </c>
      <c r="E575" s="147" t="s">
        <v>171</v>
      </c>
      <c r="F575" s="96">
        <f>VLOOKUP(E575,CONFIGURAÇÃO!E:F,2,0)</f>
      </c>
      <c r="G575" s="147" t="s">
        <v>73</v>
      </c>
      <c r="H575" s="96">
        <f>IF(G575="CORTESIA",0,D575*F575)</f>
      </c>
      <c r="I575" s="147" t="s">
        <v>50</v>
      </c>
      <c r="J575" s="147" t="s">
        <v>74</v>
      </c>
      <c r="K575" s="147"/>
      <c r="L575" s="2"/>
      <c r="M575" s="1"/>
      <c r="N575" s="1"/>
      <c r="O575" s="1"/>
    </row>
    <row x14ac:dyDescent="0.25" r="576" customHeight="1" ht="18.75" hidden="1">
      <c r="A576" s="65" t="s">
        <v>47</v>
      </c>
      <c r="B576" s="147" t="s">
        <v>490</v>
      </c>
      <c r="C576" s="169" t="s">
        <v>491</v>
      </c>
      <c r="D576" s="66">
        <v>1</v>
      </c>
      <c r="E576" s="147" t="s">
        <v>171</v>
      </c>
      <c r="F576" s="96">
        <f>VLOOKUP(E576,CONFIGURAÇÃO!E:F,2,0)</f>
      </c>
      <c r="G576" s="147" t="s">
        <v>73</v>
      </c>
      <c r="H576" s="96">
        <f>IF(G576="CORTESIA",0,D576*F576)</f>
      </c>
      <c r="I576" s="147" t="s">
        <v>50</v>
      </c>
      <c r="J576" s="147" t="s">
        <v>74</v>
      </c>
      <c r="K576" s="147"/>
      <c r="L576" s="2"/>
      <c r="M576" s="1"/>
      <c r="N576" s="1"/>
      <c r="O576" s="1"/>
    </row>
    <row x14ac:dyDescent="0.25" r="577" customHeight="1" ht="18.75" hidden="1">
      <c r="A577" s="65" t="s">
        <v>47</v>
      </c>
      <c r="B577" s="147" t="s">
        <v>421</v>
      </c>
      <c r="C577" s="66">
        <v>11911036051</v>
      </c>
      <c r="D577" s="66">
        <v>1</v>
      </c>
      <c r="E577" s="147" t="s">
        <v>171</v>
      </c>
      <c r="F577" s="96">
        <f>VLOOKUP(E577,CONFIGURAÇÃO!E:F,2,0)</f>
      </c>
      <c r="G577" s="147" t="s">
        <v>73</v>
      </c>
      <c r="H577" s="96">
        <f>IF(G577="CORTESIA",0,D577*F577)</f>
      </c>
      <c r="I577" s="147" t="s">
        <v>50</v>
      </c>
      <c r="J577" s="147" t="s">
        <v>74</v>
      </c>
      <c r="K577" s="147"/>
      <c r="L577" s="2"/>
      <c r="M577" s="1"/>
      <c r="N577" s="1"/>
      <c r="O577" s="1"/>
    </row>
    <row x14ac:dyDescent="0.25" r="578" customHeight="1" ht="18.75" hidden="1">
      <c r="A578" s="65" t="s">
        <v>47</v>
      </c>
      <c r="B578" s="147" t="s">
        <v>524</v>
      </c>
      <c r="C578" s="169" t="s">
        <v>525</v>
      </c>
      <c r="D578" s="66">
        <v>1</v>
      </c>
      <c r="E578" s="147" t="s">
        <v>72</v>
      </c>
      <c r="F578" s="96">
        <f>VLOOKUP(E578,CONFIGURAÇÃO!E:F,2,0)</f>
      </c>
      <c r="G578" s="147" t="s">
        <v>13</v>
      </c>
      <c r="H578" s="96">
        <f>IF(G578="CORTESIA",0,D578*F578)</f>
      </c>
      <c r="I578" s="147" t="s">
        <v>50</v>
      </c>
      <c r="J578" s="147" t="s">
        <v>74</v>
      </c>
      <c r="K578" s="147"/>
      <c r="L578" s="2"/>
      <c r="M578" s="1"/>
      <c r="N578" s="1"/>
      <c r="O578" s="1"/>
    </row>
    <row x14ac:dyDescent="0.25" r="579" customHeight="1" ht="18.75" hidden="1">
      <c r="A579" s="65" t="s">
        <v>40</v>
      </c>
      <c r="B579" s="147" t="s">
        <v>468</v>
      </c>
      <c r="C579" s="66">
        <v>11990199277</v>
      </c>
      <c r="D579" s="66">
        <v>1</v>
      </c>
      <c r="E579" s="147" t="s">
        <v>171</v>
      </c>
      <c r="F579" s="96">
        <f>VLOOKUP(E579,CONFIGURAÇÃO!E:F,2,0)</f>
      </c>
      <c r="G579" s="147" t="s">
        <v>73</v>
      </c>
      <c r="H579" s="96">
        <f>IF(G579="CORTESIA",0,D579*F579)</f>
      </c>
      <c r="I579" s="147" t="s">
        <v>50</v>
      </c>
      <c r="J579" s="147" t="s">
        <v>74</v>
      </c>
      <c r="K579" s="147" t="s">
        <v>469</v>
      </c>
      <c r="L579" s="2"/>
      <c r="M579" s="1"/>
      <c r="N579" s="1"/>
      <c r="O579" s="1"/>
    </row>
    <row x14ac:dyDescent="0.25" r="580" customHeight="1" ht="18.75" hidden="1">
      <c r="A580" s="65" t="s">
        <v>40</v>
      </c>
      <c r="B580" s="147" t="s">
        <v>503</v>
      </c>
      <c r="C580" s="66">
        <v>11997904621</v>
      </c>
      <c r="D580" s="66">
        <v>1</v>
      </c>
      <c r="E580" s="147" t="s">
        <v>171</v>
      </c>
      <c r="F580" s="96">
        <f>VLOOKUP(E580,CONFIGURAÇÃO!E:F,2,0)</f>
      </c>
      <c r="G580" s="147" t="s">
        <v>13</v>
      </c>
      <c r="H580" s="96">
        <f>IF(G580="CORTESIA",0,D580*F580)</f>
      </c>
      <c r="I580" s="147" t="s">
        <v>50</v>
      </c>
      <c r="J580" s="147" t="s">
        <v>74</v>
      </c>
      <c r="K580" s="147"/>
      <c r="L580" s="2"/>
      <c r="M580" s="1"/>
      <c r="N580" s="1"/>
      <c r="O580" s="1"/>
    </row>
    <row x14ac:dyDescent="0.25" r="581" customHeight="1" ht="18.75" hidden="1">
      <c r="A581" s="65" t="s">
        <v>40</v>
      </c>
      <c r="B581" s="147" t="s">
        <v>260</v>
      </c>
      <c r="C581" s="66">
        <v>11911374811</v>
      </c>
      <c r="D581" s="66">
        <v>1</v>
      </c>
      <c r="E581" s="147" t="s">
        <v>171</v>
      </c>
      <c r="F581" s="96">
        <f>VLOOKUP(E581,CONFIGURAÇÃO!E:F,2,0)</f>
      </c>
      <c r="G581" s="147" t="s">
        <v>13</v>
      </c>
      <c r="H581" s="96">
        <f>IF(G581="CORTESIA",0,D581*F581)</f>
      </c>
      <c r="I581" s="147" t="s">
        <v>50</v>
      </c>
      <c r="J581" s="147" t="s">
        <v>74</v>
      </c>
      <c r="K581" s="147"/>
      <c r="L581" s="2"/>
      <c r="M581" s="1"/>
      <c r="N581" s="1"/>
      <c r="O581" s="1"/>
    </row>
    <row x14ac:dyDescent="0.25" r="582" customHeight="1" ht="18.75" hidden="1">
      <c r="A582" s="65" t="s">
        <v>40</v>
      </c>
      <c r="B582" s="147" t="s">
        <v>364</v>
      </c>
      <c r="C582" s="66">
        <v>11956495142</v>
      </c>
      <c r="D582" s="66">
        <v>1</v>
      </c>
      <c r="E582" s="147" t="s">
        <v>171</v>
      </c>
      <c r="F582" s="96">
        <f>VLOOKUP(E582,CONFIGURAÇÃO!E:F,2,0)</f>
      </c>
      <c r="G582" s="147" t="s">
        <v>13</v>
      </c>
      <c r="H582" s="96">
        <f>IF(G582="CORTESIA",0,D582*F582)</f>
      </c>
      <c r="I582" s="147" t="s">
        <v>50</v>
      </c>
      <c r="J582" s="147" t="s">
        <v>74</v>
      </c>
      <c r="K582" s="147"/>
      <c r="L582" s="2"/>
      <c r="M582" s="1"/>
      <c r="N582" s="1"/>
      <c r="O582" s="1"/>
    </row>
    <row x14ac:dyDescent="0.25" r="583" customHeight="1" ht="18.75" hidden="1">
      <c r="A583" s="65" t="s">
        <v>40</v>
      </c>
      <c r="B583" s="147" t="s">
        <v>238</v>
      </c>
      <c r="C583" s="66">
        <v>11932534362</v>
      </c>
      <c r="D583" s="66">
        <v>1</v>
      </c>
      <c r="E583" s="147" t="s">
        <v>171</v>
      </c>
      <c r="F583" s="96">
        <f>VLOOKUP(E583,CONFIGURAÇÃO!E:F,2,0)</f>
      </c>
      <c r="G583" s="147" t="s">
        <v>13</v>
      </c>
      <c r="H583" s="96">
        <f>IF(G583="CORTESIA",0,D583*F583)</f>
      </c>
      <c r="I583" s="147" t="s">
        <v>50</v>
      </c>
      <c r="J583" s="147" t="s">
        <v>74</v>
      </c>
      <c r="K583" s="147"/>
      <c r="L583" s="2"/>
      <c r="M583" s="1"/>
      <c r="N583" s="1"/>
      <c r="O583" s="1"/>
    </row>
    <row x14ac:dyDescent="0.25" r="584" customHeight="1" ht="18.75" hidden="1">
      <c r="A584" s="65" t="s">
        <v>40</v>
      </c>
      <c r="B584" s="147" t="s">
        <v>361</v>
      </c>
      <c r="C584" s="66">
        <v>11916962475</v>
      </c>
      <c r="D584" s="66">
        <v>1</v>
      </c>
      <c r="E584" s="147" t="s">
        <v>171</v>
      </c>
      <c r="F584" s="96">
        <f>VLOOKUP(E584,CONFIGURAÇÃO!E:F,2,0)</f>
      </c>
      <c r="G584" s="147" t="s">
        <v>13</v>
      </c>
      <c r="H584" s="96">
        <f>IF(G584="CORTESIA",0,D584*F584)</f>
      </c>
      <c r="I584" s="147" t="s">
        <v>50</v>
      </c>
      <c r="J584" s="147" t="s">
        <v>74</v>
      </c>
      <c r="K584" s="147"/>
      <c r="L584" s="2"/>
      <c r="M584" s="1"/>
      <c r="N584" s="1"/>
      <c r="O584" s="1"/>
    </row>
    <row x14ac:dyDescent="0.25" r="585" customHeight="1" ht="18.75" hidden="1">
      <c r="A585" s="65">
        <v>45721</v>
      </c>
      <c r="B585" s="147" t="s">
        <v>461</v>
      </c>
      <c r="C585" s="66">
        <v>11947131975</v>
      </c>
      <c r="D585" s="66">
        <v>1</v>
      </c>
      <c r="E585" s="147" t="s">
        <v>78</v>
      </c>
      <c r="F585" s="96">
        <f>VLOOKUP(E585,CONFIGURAÇÃO!E:F,2,0)</f>
      </c>
      <c r="G585" s="147" t="s">
        <v>13</v>
      </c>
      <c r="H585" s="96">
        <f>IF(G585="CORTESIA",0,D585*F585)</f>
      </c>
      <c r="I585" s="147" t="s">
        <v>50</v>
      </c>
      <c r="J585" s="147" t="s">
        <v>74</v>
      </c>
      <c r="K585" s="147"/>
      <c r="L585" s="2"/>
      <c r="M585" s="1"/>
      <c r="N585" s="1"/>
      <c r="O585" s="1"/>
    </row>
    <row x14ac:dyDescent="0.25" r="586" customHeight="1" ht="18.75" hidden="1">
      <c r="A586" s="65">
        <v>45721</v>
      </c>
      <c r="B586" s="147" t="s">
        <v>420</v>
      </c>
      <c r="C586" s="66">
        <v>11946028455</v>
      </c>
      <c r="D586" s="66">
        <v>1</v>
      </c>
      <c r="E586" s="147" t="s">
        <v>78</v>
      </c>
      <c r="F586" s="96">
        <f>VLOOKUP(E586,CONFIGURAÇÃO!E:F,2,0)</f>
      </c>
      <c r="G586" s="147" t="s">
        <v>73</v>
      </c>
      <c r="H586" s="96">
        <f>IF(G586="CORTESIA",0,D586*F586)</f>
      </c>
      <c r="I586" s="147" t="s">
        <v>50</v>
      </c>
      <c r="J586" s="147" t="s">
        <v>74</v>
      </c>
      <c r="K586" s="147" t="s">
        <v>393</v>
      </c>
      <c r="L586" s="2"/>
      <c r="M586" s="1"/>
      <c r="N586" s="1"/>
      <c r="O586" s="1"/>
    </row>
    <row x14ac:dyDescent="0.25" r="587" customHeight="1" ht="18.75" hidden="1">
      <c r="A587" s="65">
        <v>45721</v>
      </c>
      <c r="B587" s="147" t="s">
        <v>477</v>
      </c>
      <c r="C587" s="66">
        <v>11948155260</v>
      </c>
      <c r="D587" s="66">
        <v>1</v>
      </c>
      <c r="E587" s="147" t="s">
        <v>78</v>
      </c>
      <c r="F587" s="96">
        <f>VLOOKUP(E587,CONFIGURAÇÃO!E:F,2,0)</f>
      </c>
      <c r="G587" s="147" t="s">
        <v>13</v>
      </c>
      <c r="H587" s="96">
        <f>IF(G587="CORTESIA",0,D587*F587)</f>
      </c>
      <c r="I587" s="147" t="s">
        <v>50</v>
      </c>
      <c r="J587" s="147" t="s">
        <v>74</v>
      </c>
      <c r="K587" s="147" t="s">
        <v>478</v>
      </c>
      <c r="L587" s="2"/>
      <c r="M587" s="1"/>
      <c r="N587" s="1"/>
      <c r="O587" s="1"/>
    </row>
    <row x14ac:dyDescent="0.25" r="588" customHeight="1" ht="18.75" hidden="1">
      <c r="A588" s="65">
        <v>45721</v>
      </c>
      <c r="B588" s="147" t="s">
        <v>496</v>
      </c>
      <c r="C588" s="66">
        <v>11975644983</v>
      </c>
      <c r="D588" s="66">
        <v>1</v>
      </c>
      <c r="E588" s="147" t="s">
        <v>78</v>
      </c>
      <c r="F588" s="96">
        <f>VLOOKUP(E588,CONFIGURAÇÃO!E:F,2,0)</f>
      </c>
      <c r="G588" s="147" t="s">
        <v>13</v>
      </c>
      <c r="H588" s="96">
        <f>IF(G588="CORTESIA",0,D588*F588)</f>
      </c>
      <c r="I588" s="147" t="s">
        <v>50</v>
      </c>
      <c r="J588" s="147" t="s">
        <v>74</v>
      </c>
      <c r="K588" s="147"/>
      <c r="L588" s="2"/>
      <c r="M588" s="1"/>
      <c r="N588" s="1"/>
      <c r="O588" s="1"/>
    </row>
    <row x14ac:dyDescent="0.25" r="589" customHeight="1" ht="18.75" hidden="1">
      <c r="A589" s="65">
        <v>45721</v>
      </c>
      <c r="B589" s="147" t="s">
        <v>494</v>
      </c>
      <c r="C589" s="66">
        <v>11957849656</v>
      </c>
      <c r="D589" s="66">
        <v>2</v>
      </c>
      <c r="E589" s="147" t="s">
        <v>78</v>
      </c>
      <c r="F589" s="96">
        <f>VLOOKUP(E589,CONFIGURAÇÃO!E:F,2,0)</f>
      </c>
      <c r="G589" s="147" t="s">
        <v>73</v>
      </c>
      <c r="H589" s="96">
        <f>IF(G589="CORTESIA",0,D589*F589)</f>
      </c>
      <c r="I589" s="147" t="s">
        <v>50</v>
      </c>
      <c r="J589" s="147" t="s">
        <v>74</v>
      </c>
      <c r="K589" s="147" t="s">
        <v>393</v>
      </c>
      <c r="L589" s="2"/>
      <c r="M589" s="1"/>
      <c r="N589" s="1"/>
      <c r="O589" s="1"/>
    </row>
    <row x14ac:dyDescent="0.25" r="590" customHeight="1" ht="18.75" hidden="1">
      <c r="A590" s="65">
        <v>45721</v>
      </c>
      <c r="B590" s="147" t="s">
        <v>395</v>
      </c>
      <c r="C590" s="66">
        <v>11981536575</v>
      </c>
      <c r="D590" s="66">
        <v>2</v>
      </c>
      <c r="E590" s="147" t="s">
        <v>78</v>
      </c>
      <c r="F590" s="96">
        <f>VLOOKUP(E590,CONFIGURAÇÃO!E:F,2,0)</f>
      </c>
      <c r="G590" s="147" t="s">
        <v>13</v>
      </c>
      <c r="H590" s="96">
        <f>IF(G590="CORTESIA",0,D590*F590)</f>
      </c>
      <c r="I590" s="147" t="s">
        <v>50</v>
      </c>
      <c r="J590" s="147" t="s">
        <v>74</v>
      </c>
      <c r="K590" s="147"/>
      <c r="L590" s="2"/>
      <c r="M590" s="1"/>
      <c r="N590" s="1"/>
      <c r="O590" s="1"/>
    </row>
    <row x14ac:dyDescent="0.25" r="591" customHeight="1" ht="18.75" hidden="1">
      <c r="A591" s="65">
        <v>45721</v>
      </c>
      <c r="B591" s="147" t="s">
        <v>217</v>
      </c>
      <c r="C591" s="66">
        <v>11970355431</v>
      </c>
      <c r="D591" s="66">
        <v>2</v>
      </c>
      <c r="E591" s="147" t="s">
        <v>78</v>
      </c>
      <c r="F591" s="96">
        <f>VLOOKUP(E591,CONFIGURAÇÃO!E:F,2,0)</f>
      </c>
      <c r="G591" s="147" t="s">
        <v>73</v>
      </c>
      <c r="H591" s="96">
        <f>IF(G591="CORTESIA",0,D591*F591)</f>
      </c>
      <c r="I591" s="147" t="s">
        <v>50</v>
      </c>
      <c r="J591" s="147" t="s">
        <v>74</v>
      </c>
      <c r="K591" s="147" t="s">
        <v>393</v>
      </c>
      <c r="L591" s="2"/>
      <c r="M591" s="1"/>
      <c r="N591" s="1"/>
      <c r="O591" s="1"/>
    </row>
    <row x14ac:dyDescent="0.25" r="592" customHeight="1" ht="18.75" hidden="1">
      <c r="A592" s="65">
        <v>45721</v>
      </c>
      <c r="B592" s="147" t="s">
        <v>472</v>
      </c>
      <c r="C592" s="66">
        <v>11966492606</v>
      </c>
      <c r="D592" s="66">
        <v>1</v>
      </c>
      <c r="E592" s="147" t="s">
        <v>78</v>
      </c>
      <c r="F592" s="96">
        <f>VLOOKUP(E592,CONFIGURAÇÃO!E:F,2,0)</f>
      </c>
      <c r="G592" s="147" t="s">
        <v>13</v>
      </c>
      <c r="H592" s="96">
        <f>IF(G592="CORTESIA",0,D592*F592)</f>
      </c>
      <c r="I592" s="147" t="s">
        <v>50</v>
      </c>
      <c r="J592" s="147" t="s">
        <v>74</v>
      </c>
      <c r="K592" s="147"/>
      <c r="L592" s="2"/>
      <c r="M592" s="1"/>
      <c r="N592" s="1"/>
      <c r="O592" s="1"/>
    </row>
    <row x14ac:dyDescent="0.25" r="593" customHeight="1" ht="18.75" hidden="1">
      <c r="A593" s="65">
        <v>45721</v>
      </c>
      <c r="B593" s="147" t="s">
        <v>312</v>
      </c>
      <c r="C593" s="66">
        <v>11957241015</v>
      </c>
      <c r="D593" s="66">
        <v>1</v>
      </c>
      <c r="E593" s="147" t="s">
        <v>78</v>
      </c>
      <c r="F593" s="96">
        <f>VLOOKUP(E593,CONFIGURAÇÃO!E:F,2,0)</f>
      </c>
      <c r="G593" s="147" t="s">
        <v>13</v>
      </c>
      <c r="H593" s="96">
        <f>IF(G593="CORTESIA",0,D593*F593)</f>
      </c>
      <c r="I593" s="147" t="s">
        <v>50</v>
      </c>
      <c r="J593" s="147" t="s">
        <v>74</v>
      </c>
      <c r="K593" s="147"/>
      <c r="L593" s="2"/>
      <c r="M593" s="1"/>
      <c r="N593" s="1"/>
      <c r="O593" s="1"/>
    </row>
    <row x14ac:dyDescent="0.25" r="594" customHeight="1" ht="18.75" hidden="1">
      <c r="A594" s="65">
        <v>45721</v>
      </c>
      <c r="B594" s="147" t="s">
        <v>218</v>
      </c>
      <c r="C594" s="66">
        <v>11997414630</v>
      </c>
      <c r="D594" s="66">
        <v>1</v>
      </c>
      <c r="E594" s="147" t="s">
        <v>78</v>
      </c>
      <c r="F594" s="96">
        <f>VLOOKUP(E594,CONFIGURAÇÃO!E:F,2,0)</f>
      </c>
      <c r="G594" s="147" t="s">
        <v>13</v>
      </c>
      <c r="H594" s="96">
        <f>IF(G594="CORTESIA",0,D594*F594)</f>
      </c>
      <c r="I594" s="147" t="s">
        <v>50</v>
      </c>
      <c r="J594" s="147" t="s">
        <v>74</v>
      </c>
      <c r="K594" s="147"/>
      <c r="L594" s="2"/>
      <c r="M594" s="1"/>
      <c r="N594" s="1"/>
      <c r="O594" s="1"/>
    </row>
    <row x14ac:dyDescent="0.25" r="595" customHeight="1" ht="18.75" hidden="1">
      <c r="A595" s="65">
        <v>45721</v>
      </c>
      <c r="B595" s="147" t="s">
        <v>231</v>
      </c>
      <c r="C595" s="66">
        <v>11974438009</v>
      </c>
      <c r="D595" s="66">
        <v>1</v>
      </c>
      <c r="E595" s="147" t="s">
        <v>78</v>
      </c>
      <c r="F595" s="96">
        <f>VLOOKUP(E595,CONFIGURAÇÃO!E:F,2,0)</f>
      </c>
      <c r="G595" s="147" t="s">
        <v>52</v>
      </c>
      <c r="H595" s="96">
        <f>IF(G595="CORTESIA",0,D595*F595)</f>
      </c>
      <c r="I595" s="147" t="s">
        <v>50</v>
      </c>
      <c r="J595" s="147" t="s">
        <v>74</v>
      </c>
      <c r="K595" s="147" t="s">
        <v>526</v>
      </c>
      <c r="L595" s="2"/>
      <c r="M595" s="1"/>
      <c r="N595" s="1"/>
      <c r="O595" s="1"/>
    </row>
    <row x14ac:dyDescent="0.25" r="596" customHeight="1" ht="18.75" hidden="1">
      <c r="A596" s="65">
        <v>45721</v>
      </c>
      <c r="B596" s="147" t="s">
        <v>357</v>
      </c>
      <c r="C596" s="66">
        <v>11977760176</v>
      </c>
      <c r="D596" s="66">
        <v>2</v>
      </c>
      <c r="E596" s="147" t="s">
        <v>78</v>
      </c>
      <c r="F596" s="96">
        <f>VLOOKUP(E596,CONFIGURAÇÃO!E:F,2,0)</f>
      </c>
      <c r="G596" s="147" t="s">
        <v>13</v>
      </c>
      <c r="H596" s="96">
        <f>IF(G596="CORTESIA",0,D596*F596)</f>
      </c>
      <c r="I596" s="147" t="s">
        <v>50</v>
      </c>
      <c r="J596" s="147" t="s">
        <v>74</v>
      </c>
      <c r="K596" s="147"/>
      <c r="L596" s="2"/>
      <c r="M596" s="1"/>
      <c r="N596" s="1"/>
      <c r="O596" s="1"/>
    </row>
    <row x14ac:dyDescent="0.25" r="597" customHeight="1" ht="18.75" hidden="1">
      <c r="A597" s="65">
        <v>45721</v>
      </c>
      <c r="B597" s="147" t="s">
        <v>505</v>
      </c>
      <c r="C597" s="66">
        <v>11986172881</v>
      </c>
      <c r="D597" s="66">
        <v>1</v>
      </c>
      <c r="E597" s="147" t="s">
        <v>78</v>
      </c>
      <c r="F597" s="96">
        <f>VLOOKUP(E597,CONFIGURAÇÃO!E:F,2,0)</f>
      </c>
      <c r="G597" s="147" t="s">
        <v>13</v>
      </c>
      <c r="H597" s="96">
        <f>IF(G597="CORTESIA",0,D597*F597)</f>
      </c>
      <c r="I597" s="147" t="s">
        <v>50</v>
      </c>
      <c r="J597" s="147" t="s">
        <v>74</v>
      </c>
      <c r="K597" s="147"/>
      <c r="L597" s="2"/>
      <c r="M597" s="1"/>
      <c r="N597" s="1"/>
      <c r="O597" s="1"/>
    </row>
    <row x14ac:dyDescent="0.25" r="598" customHeight="1" ht="18.75" hidden="1">
      <c r="A598" s="65">
        <v>45721</v>
      </c>
      <c r="B598" s="147" t="s">
        <v>527</v>
      </c>
      <c r="C598" s="169" t="s">
        <v>528</v>
      </c>
      <c r="D598" s="66">
        <v>1</v>
      </c>
      <c r="E598" s="147" t="s">
        <v>78</v>
      </c>
      <c r="F598" s="96">
        <f>VLOOKUP(E598,CONFIGURAÇÃO!E:F,2,0)</f>
      </c>
      <c r="G598" s="147" t="s">
        <v>13</v>
      </c>
      <c r="H598" s="96">
        <f>IF(G598="CORTESIA",0,D598*F598)</f>
      </c>
      <c r="I598" s="147" t="s">
        <v>50</v>
      </c>
      <c r="J598" s="147" t="s">
        <v>74</v>
      </c>
      <c r="K598" s="147" t="s">
        <v>529</v>
      </c>
      <c r="L598" s="2"/>
      <c r="M598" s="1"/>
      <c r="N598" s="1"/>
      <c r="O598" s="1"/>
    </row>
    <row x14ac:dyDescent="0.25" r="599" customHeight="1" ht="18.75" hidden="1">
      <c r="A599" s="65">
        <v>45721</v>
      </c>
      <c r="B599" s="147" t="s">
        <v>530</v>
      </c>
      <c r="C599" s="66"/>
      <c r="D599" s="66">
        <v>1</v>
      </c>
      <c r="E599" s="147" t="s">
        <v>78</v>
      </c>
      <c r="F599" s="96">
        <f>VLOOKUP(E599,CONFIGURAÇÃO!E:F,2,0)</f>
      </c>
      <c r="G599" s="147" t="s">
        <v>52</v>
      </c>
      <c r="H599" s="96">
        <f>IF(G599="CORTESIA",0,D599*F599)</f>
      </c>
      <c r="I599" s="147" t="s">
        <v>50</v>
      </c>
      <c r="J599" s="147" t="s">
        <v>74</v>
      </c>
      <c r="K599" s="147"/>
      <c r="L599" s="2"/>
      <c r="M599" s="1"/>
      <c r="N599" s="1"/>
      <c r="O599" s="1"/>
    </row>
    <row x14ac:dyDescent="0.25" r="600" customHeight="1" ht="18.75" hidden="1">
      <c r="A600" s="65">
        <v>45721</v>
      </c>
      <c r="B600" s="147" t="s">
        <v>531</v>
      </c>
      <c r="C600" s="169" t="s">
        <v>532</v>
      </c>
      <c r="D600" s="66">
        <v>1</v>
      </c>
      <c r="E600" s="147" t="s">
        <v>78</v>
      </c>
      <c r="F600" s="96">
        <f>VLOOKUP(E600,CONFIGURAÇÃO!E:F,2,0)</f>
      </c>
      <c r="G600" s="147" t="s">
        <v>13</v>
      </c>
      <c r="H600" s="96">
        <f>IF(G600="CORTESIA",0,D600*F600)</f>
      </c>
      <c r="I600" s="147" t="s">
        <v>50</v>
      </c>
      <c r="J600" s="147" t="s">
        <v>74</v>
      </c>
      <c r="K600" s="147"/>
      <c r="L600" s="2"/>
      <c r="M600" s="1"/>
      <c r="N600" s="1"/>
      <c r="O600" s="1"/>
    </row>
    <row x14ac:dyDescent="0.25" r="601" customHeight="1" ht="18.75" hidden="1">
      <c r="A601" s="65">
        <v>45721</v>
      </c>
      <c r="B601" s="147" t="s">
        <v>480</v>
      </c>
      <c r="C601" s="66">
        <v>11930512736</v>
      </c>
      <c r="D601" s="66">
        <v>1</v>
      </c>
      <c r="E601" s="147" t="s">
        <v>78</v>
      </c>
      <c r="F601" s="96">
        <f>VLOOKUP(E601,CONFIGURAÇÃO!E:F,2,0)</f>
      </c>
      <c r="G601" s="147" t="s">
        <v>13</v>
      </c>
      <c r="H601" s="96">
        <f>IF(G601="CORTESIA",0,D601*F601)</f>
      </c>
      <c r="I601" s="147" t="s">
        <v>50</v>
      </c>
      <c r="J601" s="147" t="s">
        <v>74</v>
      </c>
      <c r="K601" s="147"/>
      <c r="L601" s="2"/>
      <c r="M601" s="1"/>
      <c r="N601" s="1"/>
      <c r="O601" s="1"/>
    </row>
    <row x14ac:dyDescent="0.25" r="602" customHeight="1" ht="18.75" hidden="1">
      <c r="A602" s="65">
        <v>45721</v>
      </c>
      <c r="B602" s="147" t="s">
        <v>425</v>
      </c>
      <c r="C602" s="66">
        <v>11915808149</v>
      </c>
      <c r="D602" s="66">
        <v>1</v>
      </c>
      <c r="E602" s="149" t="s">
        <v>78</v>
      </c>
      <c r="F602" s="96">
        <f>VLOOKUP(E602,CONFIGURAÇÃO!E:F,2,0)</f>
      </c>
      <c r="G602" s="147" t="s">
        <v>13</v>
      </c>
      <c r="H602" s="96">
        <f>IF(G602="CORTESIA",0,D602*F602)</f>
      </c>
      <c r="I602" s="147" t="s">
        <v>50</v>
      </c>
      <c r="J602" s="147" t="s">
        <v>74</v>
      </c>
      <c r="K602" s="147"/>
      <c r="L602" s="2"/>
      <c r="M602" s="1"/>
      <c r="N602" s="1"/>
      <c r="O602" s="1"/>
    </row>
    <row x14ac:dyDescent="0.25" r="603" customHeight="1" ht="18.75" hidden="1">
      <c r="A603" s="65">
        <v>45665</v>
      </c>
      <c r="B603" s="147" t="s">
        <v>533</v>
      </c>
      <c r="C603" s="66">
        <v>11950611303</v>
      </c>
      <c r="D603" s="66">
        <v>1</v>
      </c>
      <c r="E603" s="147" t="s">
        <v>183</v>
      </c>
      <c r="F603" s="96">
        <f>VLOOKUP(E603,CONFIGURAÇÃO!E:F,2,0)</f>
      </c>
      <c r="G603" s="147" t="s">
        <v>13</v>
      </c>
      <c r="H603" s="96">
        <f>IF(G603="CORTESIA",0,D603*F603)</f>
      </c>
      <c r="I603" s="147" t="s">
        <v>22</v>
      </c>
      <c r="J603" s="147" t="s">
        <v>74</v>
      </c>
      <c r="K603" s="147"/>
      <c r="L603" s="2"/>
      <c r="M603" s="1"/>
      <c r="N603" s="1"/>
      <c r="O603" s="1"/>
    </row>
    <row x14ac:dyDescent="0.25" r="604" customHeight="1" ht="18.75" hidden="1">
      <c r="A604" s="65">
        <v>45699</v>
      </c>
      <c r="B604" s="147" t="s">
        <v>463</v>
      </c>
      <c r="C604" s="66">
        <v>11911771198</v>
      </c>
      <c r="D604" s="66">
        <v>1</v>
      </c>
      <c r="E604" s="147" t="s">
        <v>78</v>
      </c>
      <c r="F604" s="96">
        <f>VLOOKUP(E604,CONFIGURAÇÃO!E:F,2,0)</f>
      </c>
      <c r="G604" s="147" t="s">
        <v>13</v>
      </c>
      <c r="H604" s="96">
        <f>IF(G604="CORTESIA",0,D604*F604)-2</f>
      </c>
      <c r="I604" s="147" t="s">
        <v>50</v>
      </c>
      <c r="J604" s="147" t="s">
        <v>74</v>
      </c>
      <c r="K604" s="149"/>
      <c r="L604" s="2"/>
      <c r="M604" s="1"/>
      <c r="N604" s="1"/>
      <c r="O604" s="1"/>
    </row>
    <row x14ac:dyDescent="0.25" r="605" customHeight="1" ht="18.75">
      <c r="A605" s="39"/>
      <c r="B605" s="1"/>
      <c r="C605" s="40"/>
      <c r="D605" s="40"/>
      <c r="E605" s="1"/>
      <c r="F605" s="3"/>
      <c r="G605" s="1"/>
      <c r="H605" s="3"/>
      <c r="I605" s="1"/>
      <c r="J605" s="1"/>
      <c r="K605" s="1"/>
      <c r="L605" s="2"/>
      <c r="M605" s="1"/>
      <c r="N605" s="1"/>
      <c r="O605" s="1"/>
    </row>
    <row x14ac:dyDescent="0.25" r="606" customHeight="1" ht="18.75">
      <c r="A606" s="39"/>
      <c r="B606" s="1"/>
      <c r="C606" s="40"/>
      <c r="D606" s="40"/>
      <c r="E606" s="1"/>
      <c r="F606" s="3"/>
      <c r="G606" s="1"/>
      <c r="H606" s="3"/>
      <c r="I606" s="1"/>
      <c r="J606" s="1"/>
      <c r="K606" s="1"/>
      <c r="L606" s="2"/>
      <c r="M606" s="1"/>
      <c r="N606" s="1"/>
      <c r="O606" s="1"/>
    </row>
    <row x14ac:dyDescent="0.25" r="607" customHeight="1" ht="18.75">
      <c r="A607" s="39"/>
      <c r="B607" s="1"/>
      <c r="C607" s="40"/>
      <c r="D607" s="40"/>
      <c r="E607" s="1"/>
      <c r="F607" s="3"/>
      <c r="G607" s="1"/>
      <c r="H607" s="3"/>
      <c r="I607" s="1"/>
      <c r="J607" s="1"/>
      <c r="K607" s="1"/>
      <c r="L607" s="2"/>
      <c r="M607" s="1"/>
      <c r="N607" s="1"/>
      <c r="O607" s="1"/>
    </row>
    <row x14ac:dyDescent="0.25" r="608" customHeight="1" ht="18.75">
      <c r="A608" s="39"/>
      <c r="B608" s="1"/>
      <c r="C608" s="40"/>
      <c r="D608" s="40"/>
      <c r="E608" s="1"/>
      <c r="F608" s="3"/>
      <c r="G608" s="1"/>
      <c r="H608" s="3"/>
      <c r="I608" s="1"/>
      <c r="J608" s="1"/>
      <c r="K608" s="1"/>
      <c r="L608" s="2"/>
      <c r="M608" s="1"/>
      <c r="N608" s="1"/>
      <c r="O608" s="1"/>
    </row>
    <row x14ac:dyDescent="0.25" r="609" customHeight="1" ht="18.75">
      <c r="A609" s="39"/>
      <c r="B609" s="1"/>
      <c r="C609" s="40"/>
      <c r="D609" s="40"/>
      <c r="E609" s="1"/>
      <c r="F609" s="3"/>
      <c r="G609" s="1"/>
      <c r="H609" s="3"/>
      <c r="I609" s="1"/>
      <c r="J609" s="1"/>
      <c r="K609" s="1"/>
      <c r="L609" s="2"/>
      <c r="M609" s="1"/>
      <c r="N609" s="1"/>
      <c r="O609" s="1"/>
    </row>
    <row x14ac:dyDescent="0.25" r="610" customHeight="1" ht="18.75">
      <c r="A610" s="39"/>
      <c r="B610" s="1"/>
      <c r="C610" s="40"/>
      <c r="D610" s="40"/>
      <c r="E610" s="1"/>
      <c r="F610" s="3"/>
      <c r="G610" s="1"/>
      <c r="H610" s="3"/>
      <c r="I610" s="1"/>
      <c r="J610" s="1"/>
      <c r="K610" s="1"/>
      <c r="L610" s="2"/>
      <c r="M610" s="1"/>
      <c r="N610" s="1"/>
      <c r="O610" s="1"/>
    </row>
    <row x14ac:dyDescent="0.25" r="611" customHeight="1" ht="18.75">
      <c r="A611" s="39"/>
      <c r="B611" s="1"/>
      <c r="C611" s="40"/>
      <c r="D611" s="40"/>
      <c r="E611" s="1"/>
      <c r="F611" s="3"/>
      <c r="G611" s="1"/>
      <c r="H611" s="3"/>
      <c r="I611" s="1"/>
      <c r="J611" s="1"/>
      <c r="K611" s="1"/>
      <c r="L611" s="2"/>
      <c r="M611" s="1"/>
      <c r="N611" s="1"/>
      <c r="O611" s="1"/>
    </row>
    <row x14ac:dyDescent="0.25" r="612" customHeight="1" ht="18.75">
      <c r="A612" s="39"/>
      <c r="B612" s="1"/>
      <c r="C612" s="40"/>
      <c r="D612" s="40"/>
      <c r="E612" s="1"/>
      <c r="F612" s="3"/>
      <c r="G612" s="1"/>
      <c r="H612" s="3"/>
      <c r="I612" s="1"/>
      <c r="J612" s="1"/>
      <c r="K612" s="1"/>
      <c r="L612" s="2"/>
      <c r="M612" s="1"/>
      <c r="N612" s="1"/>
      <c r="O612" s="1"/>
    </row>
    <row x14ac:dyDescent="0.25" r="613" customHeight="1" ht="18.75">
      <c r="A613" s="39"/>
      <c r="B613" s="1"/>
      <c r="C613" s="40"/>
      <c r="D613" s="40"/>
      <c r="E613" s="1"/>
      <c r="F613" s="3"/>
      <c r="G613" s="1"/>
      <c r="H613" s="3"/>
      <c r="I613" s="1"/>
      <c r="J613" s="1"/>
      <c r="K613" s="1"/>
      <c r="L613" s="2"/>
      <c r="M613" s="1"/>
      <c r="N613" s="1"/>
      <c r="O613" s="1"/>
    </row>
    <row x14ac:dyDescent="0.25" r="614" customHeight="1" ht="18.75">
      <c r="A614" s="39"/>
      <c r="B614" s="1"/>
      <c r="C614" s="40"/>
      <c r="D614" s="40"/>
      <c r="E614" s="1"/>
      <c r="F614" s="3"/>
      <c r="G614" s="1"/>
      <c r="H614" s="3"/>
      <c r="I614" s="1"/>
      <c r="J614" s="1"/>
      <c r="K614" s="1"/>
      <c r="L614" s="2"/>
      <c r="M614" s="1"/>
      <c r="N614" s="1"/>
      <c r="O614" s="1"/>
    </row>
    <row x14ac:dyDescent="0.25" r="615" customHeight="1" ht="18.75">
      <c r="A615" s="39"/>
      <c r="B615" s="1"/>
      <c r="C615" s="40"/>
      <c r="D615" s="40"/>
      <c r="E615" s="1"/>
      <c r="F615" s="3"/>
      <c r="G615" s="1"/>
      <c r="H615" s="3"/>
      <c r="I615" s="1"/>
      <c r="J615" s="1"/>
      <c r="K615" s="1"/>
      <c r="L615" s="2"/>
      <c r="M615" s="1"/>
      <c r="N615" s="1"/>
      <c r="O615" s="1"/>
    </row>
    <row x14ac:dyDescent="0.25" r="616" customHeight="1" ht="18.75">
      <c r="A616" s="39"/>
      <c r="B616" s="1"/>
      <c r="C616" s="40"/>
      <c r="D616" s="40"/>
      <c r="E616" s="1"/>
      <c r="F616" s="3"/>
      <c r="G616" s="1"/>
      <c r="H616" s="3"/>
      <c r="I616" s="1"/>
      <c r="J616" s="1"/>
      <c r="K616" s="1"/>
      <c r="L616" s="2"/>
      <c r="M616" s="1"/>
      <c r="N616" s="1"/>
      <c r="O616" s="1"/>
    </row>
    <row x14ac:dyDescent="0.25" r="617" customHeight="1" ht="18.75">
      <c r="A617" s="39"/>
      <c r="B617" s="1"/>
      <c r="C617" s="40"/>
      <c r="D617" s="40"/>
      <c r="E617" s="1"/>
      <c r="F617" s="3"/>
      <c r="G617" s="1"/>
      <c r="H617" s="3"/>
      <c r="I617" s="1"/>
      <c r="J617" s="1"/>
      <c r="K617" s="1"/>
      <c r="L617" s="62"/>
      <c r="M617" s="1"/>
      <c r="N617" s="1"/>
      <c r="O617" s="1"/>
    </row>
    <row x14ac:dyDescent="0.25" r="618" customHeight="1" ht="18.75">
      <c r="A618" s="39"/>
      <c r="B618" s="1"/>
      <c r="C618" s="40"/>
      <c r="D618" s="40"/>
      <c r="E618" s="1"/>
      <c r="F618" s="3"/>
      <c r="G618" s="1"/>
      <c r="H618" s="3"/>
      <c r="I618" s="1"/>
      <c r="J618" s="1"/>
      <c r="K618" s="1"/>
      <c r="L618" s="62"/>
      <c r="M618" s="1"/>
      <c r="N618" s="1"/>
      <c r="O618" s="1"/>
    </row>
    <row x14ac:dyDescent="0.25" r="619" customHeight="1" ht="18.75">
      <c r="A619" s="39"/>
      <c r="B619" s="1"/>
      <c r="C619" s="40"/>
      <c r="D619" s="40"/>
      <c r="E619" s="1"/>
      <c r="F619" s="3"/>
      <c r="G619" s="1"/>
      <c r="H619" s="3"/>
      <c r="I619" s="1"/>
      <c r="J619" s="1"/>
      <c r="K619" s="1"/>
      <c r="L619" s="62"/>
      <c r="M619" s="1"/>
      <c r="N619" s="1"/>
      <c r="O6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N711"/>
  <sheetViews>
    <sheetView workbookViewId="0"/>
  </sheetViews>
  <sheetFormatPr defaultRowHeight="15" x14ac:dyDescent="0.25"/>
  <cols>
    <col min="1" max="1" style="156" width="11.576428571428572" customWidth="1" bestFit="1"/>
    <col min="2" max="2" style="157" width="47.57642857142857" customWidth="1" bestFit="1"/>
    <col min="3" max="3" style="163" width="13.719285714285713" customWidth="1" bestFit="1"/>
    <col min="4" max="4" style="38" width="9.43357142857143" customWidth="1" bestFit="1"/>
    <col min="5" max="5" style="12" width="14.576428571428572" customWidth="1" bestFit="1"/>
    <col min="6" max="6" style="37" width="20.862142857142857" customWidth="1" bestFit="1"/>
    <col min="7" max="7" style="12" width="14.290714285714287" customWidth="1" bestFit="1"/>
    <col min="8" max="8" style="37" width="12.147857142857141" customWidth="1" bestFit="1"/>
    <col min="9" max="9" style="12" width="16.005" customWidth="1" bestFit="1"/>
    <col min="10" max="10" style="12" width="27.433571428571426" customWidth="1" bestFit="1"/>
    <col min="11" max="11" style="12" width="73.7192857142857" customWidth="1" bestFit="1"/>
    <col min="12" max="12" style="11" width="9.147857142857141" customWidth="1" bestFit="1"/>
    <col min="13" max="13" style="11" width="9.147857142857141" customWidth="1" bestFit="1"/>
    <col min="14" max="14" style="13" width="12.147857142857141" customWidth="1" bestFit="1"/>
  </cols>
  <sheetData>
    <row x14ac:dyDescent="0.25" r="1" customHeight="1" ht="18.75">
      <c r="A1" s="142" t="s">
        <v>63</v>
      </c>
      <c r="B1" s="158" t="s">
        <v>64</v>
      </c>
      <c r="C1" s="159" t="s">
        <v>65</v>
      </c>
      <c r="D1" s="144" t="s">
        <v>53</v>
      </c>
      <c r="E1" s="143" t="s">
        <v>66</v>
      </c>
      <c r="F1" s="145" t="s">
        <v>67</v>
      </c>
      <c r="G1" s="143" t="s">
        <v>68</v>
      </c>
      <c r="H1" s="145" t="s">
        <v>5</v>
      </c>
      <c r="I1" s="143" t="s">
        <v>23</v>
      </c>
      <c r="J1" s="146" t="s">
        <v>69</v>
      </c>
      <c r="K1" s="146" t="s">
        <v>70</v>
      </c>
      <c r="L1" s="1"/>
      <c r="M1" s="1"/>
      <c r="N1" s="3"/>
    </row>
    <row x14ac:dyDescent="0.25" r="2" customHeight="1" ht="18.75" hidden="1">
      <c r="A2" s="65" t="s">
        <v>160</v>
      </c>
      <c r="B2" s="155" t="s">
        <v>182</v>
      </c>
      <c r="C2" s="160">
        <f>VLOOKUP(B2,CONFIGURAÇÃO!H:I,2,FALSE)</f>
      </c>
      <c r="D2" s="66">
        <v>1</v>
      </c>
      <c r="E2" s="147" t="s">
        <v>183</v>
      </c>
      <c r="F2" s="96">
        <f>VLOOKUP(E2,CONFIGURAÇÃO!E:F,2,0)</f>
      </c>
      <c r="G2" s="147" t="s">
        <v>13</v>
      </c>
      <c r="H2" s="96">
        <f>IF(G2="CORTESIA",0,D2*F2)</f>
      </c>
      <c r="I2" s="147" t="s">
        <v>19</v>
      </c>
      <c r="J2" s="149" t="s">
        <v>184</v>
      </c>
      <c r="K2" s="147" t="s">
        <v>185</v>
      </c>
      <c r="L2" s="1"/>
      <c r="M2" s="1"/>
      <c r="N2" s="35">
        <f>SUM(H2:H151)</f>
      </c>
    </row>
    <row x14ac:dyDescent="0.25" r="3" customHeight="1" ht="18.75" hidden="1">
      <c r="A3" s="65" t="s">
        <v>177</v>
      </c>
      <c r="B3" s="155" t="s">
        <v>186</v>
      </c>
      <c r="C3" s="160">
        <f>VLOOKUP(B3,CONFIGURAÇÃO!H:I,2,FALSE)</f>
      </c>
      <c r="D3" s="66">
        <v>1</v>
      </c>
      <c r="E3" s="147" t="s">
        <v>78</v>
      </c>
      <c r="F3" s="96">
        <f>VLOOKUP(E3,CONFIGURAÇÃO!E:F,2,0)</f>
      </c>
      <c r="G3" s="147" t="s">
        <v>13</v>
      </c>
      <c r="H3" s="96">
        <f>IF(G3="CORTESIA",0,D3*F3)</f>
      </c>
      <c r="I3" s="147" t="s">
        <v>19</v>
      </c>
      <c r="J3" s="149" t="s">
        <v>184</v>
      </c>
      <c r="K3" s="147"/>
      <c r="L3" s="1"/>
      <c r="M3" s="1"/>
      <c r="N3" s="3"/>
    </row>
    <row x14ac:dyDescent="0.25" r="4" customHeight="1" ht="18.75" hidden="1">
      <c r="A4" s="67" t="s">
        <v>179</v>
      </c>
      <c r="B4" s="154" t="s">
        <v>187</v>
      </c>
      <c r="C4" s="160">
        <f>VLOOKUP(B4,CONFIGURAÇÃO!H:I,2,FALSE)</f>
      </c>
      <c r="D4" s="148">
        <v>1</v>
      </c>
      <c r="E4" s="149" t="s">
        <v>78</v>
      </c>
      <c r="F4" s="96">
        <f>VLOOKUP(E4,CONFIGURAÇÃO!E:F,2,0)</f>
      </c>
      <c r="G4" s="147" t="s">
        <v>13</v>
      </c>
      <c r="H4" s="96">
        <f>IF(G4="CORTESIA",0,D4*F4)</f>
      </c>
      <c r="I4" s="147" t="s">
        <v>50</v>
      </c>
      <c r="J4" s="149" t="s">
        <v>184</v>
      </c>
      <c r="K4" s="147"/>
      <c r="L4" s="1"/>
      <c r="M4" s="1"/>
      <c r="N4" s="3"/>
    </row>
    <row x14ac:dyDescent="0.25" r="5" customHeight="1" ht="18.75" hidden="1">
      <c r="A5" s="67" t="s">
        <v>178</v>
      </c>
      <c r="B5" s="154" t="s">
        <v>187</v>
      </c>
      <c r="C5" s="160">
        <f>VLOOKUP(B5,CONFIGURAÇÃO!H:I,2,FALSE)</f>
      </c>
      <c r="D5" s="148">
        <v>1</v>
      </c>
      <c r="E5" s="149" t="s">
        <v>72</v>
      </c>
      <c r="F5" s="96">
        <f>VLOOKUP(E5,CONFIGURAÇÃO!E:F,2,0)</f>
      </c>
      <c r="G5" s="147" t="s">
        <v>13</v>
      </c>
      <c r="H5" s="96">
        <f>IF(G5="CORTESIA",0,D5*F5)</f>
      </c>
      <c r="I5" s="147" t="s">
        <v>50</v>
      </c>
      <c r="J5" s="149" t="s">
        <v>184</v>
      </c>
      <c r="K5" s="147"/>
      <c r="L5" s="1"/>
      <c r="M5" s="1"/>
      <c r="N5" s="3"/>
    </row>
    <row x14ac:dyDescent="0.25" r="6" customHeight="1" ht="18.75" hidden="1">
      <c r="A6" s="65" t="s">
        <v>177</v>
      </c>
      <c r="B6" s="155" t="s">
        <v>187</v>
      </c>
      <c r="C6" s="160">
        <f>VLOOKUP(B6,CONFIGURAÇÃO!H:I,2,FALSE)</f>
      </c>
      <c r="D6" s="66">
        <v>1</v>
      </c>
      <c r="E6" s="147" t="s">
        <v>183</v>
      </c>
      <c r="F6" s="96">
        <f>VLOOKUP(E6,CONFIGURAÇÃO!E:F,2,0)</f>
      </c>
      <c r="G6" s="147" t="s">
        <v>13</v>
      </c>
      <c r="H6" s="96">
        <f>IF(G6="CORTESIA",0,D6*F6)</f>
      </c>
      <c r="I6" s="147" t="s">
        <v>19</v>
      </c>
      <c r="J6" s="149" t="s">
        <v>184</v>
      </c>
      <c r="K6" s="147"/>
      <c r="L6" s="1"/>
      <c r="M6" s="1"/>
      <c r="N6" s="3"/>
    </row>
    <row x14ac:dyDescent="0.25" r="7" customHeight="1" ht="18.75" hidden="1">
      <c r="A7" s="65" t="s">
        <v>188</v>
      </c>
      <c r="B7" s="155" t="s">
        <v>187</v>
      </c>
      <c r="C7" s="160">
        <f>VLOOKUP(B7,CONFIGURAÇÃO!H:I,2,FALSE)</f>
      </c>
      <c r="D7" s="66">
        <v>1</v>
      </c>
      <c r="E7" s="147" t="s">
        <v>78</v>
      </c>
      <c r="F7" s="96">
        <f>VLOOKUP(E7,CONFIGURAÇÃO!E:F,2,0)</f>
      </c>
      <c r="G7" s="147" t="s">
        <v>13</v>
      </c>
      <c r="H7" s="96">
        <f>IF(G7="CORTESIA",0,D7*F7)</f>
      </c>
      <c r="I7" s="147" t="s">
        <v>19</v>
      </c>
      <c r="J7" s="149" t="s">
        <v>184</v>
      </c>
      <c r="K7" s="147"/>
      <c r="L7" s="1"/>
      <c r="M7" s="1"/>
      <c r="N7" s="3"/>
    </row>
    <row x14ac:dyDescent="0.25" r="8" customHeight="1" ht="18.75" hidden="1">
      <c r="A8" s="65" t="s">
        <v>159</v>
      </c>
      <c r="B8" s="155" t="s">
        <v>187</v>
      </c>
      <c r="C8" s="160">
        <f>VLOOKUP(B8,CONFIGURAÇÃO!H:I,2,FALSE)</f>
      </c>
      <c r="D8" s="66">
        <v>1</v>
      </c>
      <c r="E8" s="147" t="s">
        <v>72</v>
      </c>
      <c r="F8" s="96">
        <f>VLOOKUP(E8,CONFIGURAÇÃO!E:F,2,0)</f>
      </c>
      <c r="G8" s="147" t="s">
        <v>13</v>
      </c>
      <c r="H8" s="96">
        <f>IF(G8="CORTESIA",0,D8*F8)</f>
      </c>
      <c r="I8" s="147" t="s">
        <v>19</v>
      </c>
      <c r="J8" s="149" t="s">
        <v>184</v>
      </c>
      <c r="K8" s="147"/>
      <c r="L8" s="1"/>
      <c r="M8" s="1"/>
      <c r="N8" s="3"/>
    </row>
    <row x14ac:dyDescent="0.25" r="9" customHeight="1" ht="18.75" hidden="1">
      <c r="A9" s="67" t="s">
        <v>164</v>
      </c>
      <c r="B9" s="154" t="s">
        <v>187</v>
      </c>
      <c r="C9" s="160">
        <f>VLOOKUP(B9,CONFIGURAÇÃO!H:I,2,FALSE)</f>
      </c>
      <c r="D9" s="148">
        <v>1</v>
      </c>
      <c r="E9" s="149" t="s">
        <v>183</v>
      </c>
      <c r="F9" s="96">
        <f>VLOOKUP(E9,CONFIGURAÇÃO!E:F,2,0)</f>
      </c>
      <c r="G9" s="147" t="s">
        <v>13</v>
      </c>
      <c r="H9" s="96">
        <f>IF(G9="CORTESIA",0,D9*F9)</f>
      </c>
      <c r="I9" s="147" t="s">
        <v>19</v>
      </c>
      <c r="J9" s="149" t="s">
        <v>184</v>
      </c>
      <c r="K9" s="147"/>
      <c r="L9" s="1"/>
      <c r="M9" s="1"/>
      <c r="N9" s="3"/>
    </row>
    <row x14ac:dyDescent="0.25" r="10" customHeight="1" ht="18.75" hidden="1">
      <c r="A10" s="67" t="s">
        <v>189</v>
      </c>
      <c r="B10" s="154" t="s">
        <v>187</v>
      </c>
      <c r="C10" s="160">
        <f>VLOOKUP(B10,CONFIGURAÇÃO!H:I,2,FALSE)</f>
      </c>
      <c r="D10" s="148">
        <v>2</v>
      </c>
      <c r="E10" s="149" t="s">
        <v>72</v>
      </c>
      <c r="F10" s="96">
        <f>VLOOKUP(E10,CONFIGURAÇÃO!E:F,2,0)</f>
      </c>
      <c r="G10" s="147" t="s">
        <v>13</v>
      </c>
      <c r="H10" s="96">
        <f>IF(G10="CORTESIA",0,D10*F10)</f>
      </c>
      <c r="I10" s="147" t="s">
        <v>19</v>
      </c>
      <c r="J10" s="149" t="s">
        <v>74</v>
      </c>
      <c r="K10" s="147"/>
      <c r="L10" s="1"/>
      <c r="M10" s="1"/>
      <c r="N10" s="3"/>
    </row>
    <row x14ac:dyDescent="0.25" r="11" customHeight="1" ht="18.75" hidden="1">
      <c r="A11" s="65" t="s">
        <v>177</v>
      </c>
      <c r="B11" s="155" t="s">
        <v>190</v>
      </c>
      <c r="C11" s="160">
        <f>VLOOKUP(B11,CONFIGURAÇÃO!H:I,2,FALSE)</f>
      </c>
      <c r="D11" s="66">
        <v>1</v>
      </c>
      <c r="E11" s="147" t="s">
        <v>183</v>
      </c>
      <c r="F11" s="96">
        <f>VLOOKUP(E11,CONFIGURAÇÃO!E:F,2,0)</f>
      </c>
      <c r="G11" s="147" t="s">
        <v>13</v>
      </c>
      <c r="H11" s="96">
        <f>IF(G11="CORTESIA",0,D11*F11)</f>
      </c>
      <c r="I11" s="147" t="s">
        <v>19</v>
      </c>
      <c r="J11" s="149" t="s">
        <v>184</v>
      </c>
      <c r="K11" s="147"/>
      <c r="L11" s="1"/>
      <c r="M11" s="1"/>
      <c r="N11" s="3"/>
    </row>
    <row x14ac:dyDescent="0.25" r="12" customHeight="1" ht="18.75" hidden="1">
      <c r="A12" s="67" t="s">
        <v>161</v>
      </c>
      <c r="B12" s="154" t="s">
        <v>191</v>
      </c>
      <c r="C12" s="160">
        <f>VLOOKUP(B12,CONFIGURAÇÃO!H:I,2,FALSE)</f>
      </c>
      <c r="D12" s="148">
        <v>1</v>
      </c>
      <c r="E12" s="149" t="s">
        <v>183</v>
      </c>
      <c r="F12" s="96">
        <f>VLOOKUP(E12,CONFIGURAÇÃO!E:F,2,0)</f>
      </c>
      <c r="G12" s="147" t="s">
        <v>13</v>
      </c>
      <c r="H12" s="96">
        <f>IF(G12="CORTESIA",0,D12*F12)</f>
      </c>
      <c r="I12" s="147" t="s">
        <v>22</v>
      </c>
      <c r="J12" s="149" t="s">
        <v>184</v>
      </c>
      <c r="K12" s="147"/>
      <c r="L12" s="1"/>
      <c r="M12" s="1"/>
      <c r="N12" s="3"/>
    </row>
    <row x14ac:dyDescent="0.25" r="13" customHeight="1" ht="18.75" hidden="1">
      <c r="A13" s="67" t="s">
        <v>162</v>
      </c>
      <c r="B13" s="154" t="s">
        <v>191</v>
      </c>
      <c r="C13" s="160">
        <f>VLOOKUP(B13,CONFIGURAÇÃO!H:I,2,FALSE)</f>
      </c>
      <c r="D13" s="148">
        <v>1</v>
      </c>
      <c r="E13" s="149" t="s">
        <v>72</v>
      </c>
      <c r="F13" s="96">
        <f>VLOOKUP(E13,CONFIGURAÇÃO!E:F,2,0)</f>
      </c>
      <c r="G13" s="147" t="s">
        <v>52</v>
      </c>
      <c r="H13" s="96">
        <f>IF(G13="CORTESIA",0,D13*F13)</f>
      </c>
      <c r="I13" s="147" t="s">
        <v>22</v>
      </c>
      <c r="J13" s="149" t="s">
        <v>184</v>
      </c>
      <c r="K13" s="147"/>
      <c r="L13" s="1"/>
      <c r="M13" s="1"/>
      <c r="N13" s="3"/>
    </row>
    <row x14ac:dyDescent="0.25" r="14" customHeight="1" ht="18.75" hidden="1">
      <c r="A14" s="67" t="s">
        <v>179</v>
      </c>
      <c r="B14" s="154" t="s">
        <v>192</v>
      </c>
      <c r="C14" s="160">
        <f>VLOOKUP(B14,CONFIGURAÇÃO!H:I,2,FALSE)</f>
      </c>
      <c r="D14" s="148">
        <v>1</v>
      </c>
      <c r="E14" s="149" t="s">
        <v>78</v>
      </c>
      <c r="F14" s="96">
        <f>VLOOKUP(E14,CONFIGURAÇÃO!E:F,2,0)</f>
      </c>
      <c r="G14" s="147" t="s">
        <v>13</v>
      </c>
      <c r="H14" s="96">
        <f>IF(G14="CORTESIA",0,D14*F14)</f>
      </c>
      <c r="I14" s="147" t="s">
        <v>50</v>
      </c>
      <c r="J14" s="149" t="s">
        <v>184</v>
      </c>
      <c r="K14" s="147"/>
      <c r="L14" s="1"/>
      <c r="M14" s="1"/>
      <c r="N14" s="3"/>
    </row>
    <row x14ac:dyDescent="0.25" r="15" customHeight="1" ht="18.75" hidden="1">
      <c r="A15" s="67">
        <v>45749</v>
      </c>
      <c r="B15" s="154" t="s">
        <v>193</v>
      </c>
      <c r="C15" s="160">
        <f>VLOOKUP(B15,CONFIGURAÇÃO!H:I,2,FALSE)</f>
      </c>
      <c r="D15" s="148">
        <v>1</v>
      </c>
      <c r="E15" s="149" t="s">
        <v>183</v>
      </c>
      <c r="F15" s="96">
        <f>VLOOKUP(E15,CONFIGURAÇÃO!E:F,2,0)</f>
      </c>
      <c r="G15" s="147" t="s">
        <v>13</v>
      </c>
      <c r="H15" s="96">
        <f>IF(G15="CORTESIA",0,D15*F15)-2</f>
      </c>
      <c r="I15" s="147" t="s">
        <v>19</v>
      </c>
      <c r="J15" s="149" t="s">
        <v>184</v>
      </c>
      <c r="K15" s="147" t="s">
        <v>194</v>
      </c>
      <c r="L15" s="1"/>
      <c r="M15" s="1"/>
      <c r="N15" s="3"/>
    </row>
    <row x14ac:dyDescent="0.25" r="16" customHeight="1" ht="18.75" hidden="1">
      <c r="A16" s="65" t="s">
        <v>180</v>
      </c>
      <c r="B16" s="155" t="s">
        <v>195</v>
      </c>
      <c r="C16" s="160">
        <f>VLOOKUP(B16,CONFIGURAÇÃO!H:I,2,FALSE)</f>
      </c>
      <c r="D16" s="66">
        <v>1</v>
      </c>
      <c r="E16" s="147" t="s">
        <v>78</v>
      </c>
      <c r="F16" s="96">
        <v>12</v>
      </c>
      <c r="G16" s="147" t="s">
        <v>13</v>
      </c>
      <c r="H16" s="96">
        <v>12</v>
      </c>
      <c r="I16" s="147" t="s">
        <v>50</v>
      </c>
      <c r="J16" s="147" t="s">
        <v>74</v>
      </c>
      <c r="K16" s="147"/>
      <c r="L16" s="1"/>
      <c r="M16" s="1"/>
      <c r="N16" s="3"/>
    </row>
    <row x14ac:dyDescent="0.25" r="17" customHeight="1" ht="18.75" hidden="1">
      <c r="A17" s="67" t="s">
        <v>163</v>
      </c>
      <c r="B17" s="154" t="s">
        <v>196</v>
      </c>
      <c r="C17" s="160">
        <f>VLOOKUP(B17,CONFIGURAÇÃO!H:I,2,FALSE)</f>
      </c>
      <c r="D17" s="148">
        <v>1</v>
      </c>
      <c r="E17" s="149" t="s">
        <v>183</v>
      </c>
      <c r="F17" s="96">
        <f>VLOOKUP(E17,CONFIGURAÇÃO!E:F,2,0)</f>
      </c>
      <c r="G17" s="147" t="s">
        <v>13</v>
      </c>
      <c r="H17" s="96">
        <f>IF(G17="CORTESIA",0,D17*F17)</f>
      </c>
      <c r="I17" s="147" t="s">
        <v>19</v>
      </c>
      <c r="J17" s="149" t="s">
        <v>184</v>
      </c>
      <c r="K17" s="147"/>
      <c r="L17" s="1"/>
      <c r="M17" s="1"/>
      <c r="N17" s="3"/>
    </row>
    <row x14ac:dyDescent="0.25" r="18" customHeight="1" ht="18.75" hidden="1">
      <c r="A18" s="67" t="s">
        <v>162</v>
      </c>
      <c r="B18" s="154" t="s">
        <v>197</v>
      </c>
      <c r="C18" s="160">
        <f>VLOOKUP(B18,CONFIGURAÇÃO!H:I,2,FALSE)</f>
      </c>
      <c r="D18" s="148">
        <v>1</v>
      </c>
      <c r="E18" s="149" t="s">
        <v>78</v>
      </c>
      <c r="F18" s="96">
        <f>VLOOKUP(E18,CONFIGURAÇÃO!E:F,2,0)</f>
      </c>
      <c r="G18" s="147" t="s">
        <v>13</v>
      </c>
      <c r="H18" s="96">
        <f>IF(G18="CORTESIA",0,D18*F18)</f>
      </c>
      <c r="I18" s="147" t="s">
        <v>22</v>
      </c>
      <c r="J18" s="149" t="s">
        <v>184</v>
      </c>
      <c r="K18" s="147"/>
      <c r="L18" s="1"/>
      <c r="M18" s="1"/>
      <c r="N18" s="3"/>
    </row>
    <row x14ac:dyDescent="0.25" r="19" customHeight="1" ht="18.75" hidden="1">
      <c r="A19" s="67" t="s">
        <v>198</v>
      </c>
      <c r="B19" s="154" t="s">
        <v>199</v>
      </c>
      <c r="C19" s="160">
        <f>VLOOKUP(B19,CONFIGURAÇÃO!H:I,2,FALSE)</f>
      </c>
      <c r="D19" s="148">
        <v>1</v>
      </c>
      <c r="E19" s="149" t="s">
        <v>183</v>
      </c>
      <c r="F19" s="96">
        <f>VLOOKUP(E19,CONFIGURAÇÃO!E:F,2,0)</f>
      </c>
      <c r="G19" s="147" t="s">
        <v>13</v>
      </c>
      <c r="H19" s="96">
        <f>IF(G19="CORTESIA",0,D19*F19)</f>
      </c>
      <c r="I19" s="147" t="s">
        <v>50</v>
      </c>
      <c r="J19" s="149" t="s">
        <v>184</v>
      </c>
      <c r="K19" s="147"/>
      <c r="L19" s="1"/>
      <c r="M19" s="1"/>
      <c r="N19" s="3"/>
    </row>
    <row x14ac:dyDescent="0.25" r="20" customHeight="1" ht="18.75" hidden="1">
      <c r="A20" s="67" t="s">
        <v>178</v>
      </c>
      <c r="B20" s="154" t="s">
        <v>199</v>
      </c>
      <c r="C20" s="160">
        <f>VLOOKUP(B20,CONFIGURAÇÃO!H:I,2,FALSE)</f>
      </c>
      <c r="D20" s="148">
        <v>1</v>
      </c>
      <c r="E20" s="149" t="s">
        <v>72</v>
      </c>
      <c r="F20" s="96">
        <f>VLOOKUP(E20,CONFIGURAÇÃO!E:F,2,0)</f>
      </c>
      <c r="G20" s="147" t="s">
        <v>13</v>
      </c>
      <c r="H20" s="96">
        <f>IF(G20="CORTESIA",0,D20*F20)</f>
      </c>
      <c r="I20" s="147" t="s">
        <v>50</v>
      </c>
      <c r="J20" s="149" t="s">
        <v>184</v>
      </c>
      <c r="K20" s="147"/>
      <c r="L20" s="1"/>
      <c r="M20" s="1"/>
      <c r="N20" s="3"/>
    </row>
    <row x14ac:dyDescent="0.25" r="21" customHeight="1" ht="18.75" hidden="1">
      <c r="A21" s="67" t="s">
        <v>172</v>
      </c>
      <c r="B21" s="154" t="s">
        <v>199</v>
      </c>
      <c r="C21" s="160">
        <f>VLOOKUP(B21,CONFIGURAÇÃO!H:I,2,FALSE)</f>
      </c>
      <c r="D21" s="148">
        <v>1</v>
      </c>
      <c r="E21" s="149" t="s">
        <v>183</v>
      </c>
      <c r="F21" s="96">
        <f>VLOOKUP(E21,CONFIGURAÇÃO!E:F,2,0)</f>
      </c>
      <c r="G21" s="147" t="s">
        <v>13</v>
      </c>
      <c r="H21" s="96">
        <f>IF(G21="CORTESIA",0,D21*F21)</f>
      </c>
      <c r="I21" s="147" t="s">
        <v>50</v>
      </c>
      <c r="J21" s="149" t="s">
        <v>184</v>
      </c>
      <c r="K21" s="147"/>
      <c r="L21" s="1"/>
      <c r="M21" s="1"/>
      <c r="N21" s="3"/>
    </row>
    <row x14ac:dyDescent="0.25" r="22" customHeight="1" ht="18.75" hidden="1">
      <c r="A22" s="67" t="s">
        <v>159</v>
      </c>
      <c r="B22" s="154" t="s">
        <v>199</v>
      </c>
      <c r="C22" s="160">
        <f>VLOOKUP(B22,CONFIGURAÇÃO!H:I,2,FALSE)</f>
      </c>
      <c r="D22" s="148">
        <v>1</v>
      </c>
      <c r="E22" s="149" t="s">
        <v>72</v>
      </c>
      <c r="F22" s="96">
        <f>VLOOKUP(E22,CONFIGURAÇÃO!E:F,2,0)</f>
      </c>
      <c r="G22" s="147" t="s">
        <v>13</v>
      </c>
      <c r="H22" s="96">
        <f>IF(G22="CORTESIA",0,D22*F22)</f>
      </c>
      <c r="I22" s="147" t="s">
        <v>50</v>
      </c>
      <c r="J22" s="149" t="s">
        <v>184</v>
      </c>
      <c r="K22" s="147"/>
      <c r="L22" s="1"/>
      <c r="M22" s="1"/>
      <c r="N22" s="3"/>
    </row>
    <row x14ac:dyDescent="0.25" r="23" customHeight="1" ht="18.75" hidden="1">
      <c r="A23" s="65" t="s">
        <v>163</v>
      </c>
      <c r="B23" s="155" t="s">
        <v>199</v>
      </c>
      <c r="C23" s="160">
        <f>VLOOKUP(B23,CONFIGURAÇÃO!H:I,2,FALSE)</f>
      </c>
      <c r="D23" s="66">
        <v>1</v>
      </c>
      <c r="E23" s="147" t="s">
        <v>78</v>
      </c>
      <c r="F23" s="96">
        <f>VLOOKUP(E23,CONFIGURAÇÃO!E:F,2,0)</f>
      </c>
      <c r="G23" s="147" t="s">
        <v>13</v>
      </c>
      <c r="H23" s="96">
        <f>IF(G23="CORTESIA",0,D23*F23)</f>
      </c>
      <c r="I23" s="147" t="s">
        <v>50</v>
      </c>
      <c r="J23" s="149" t="s">
        <v>184</v>
      </c>
      <c r="K23" s="147"/>
      <c r="L23" s="1"/>
      <c r="M23" s="1"/>
      <c r="N23" s="3"/>
    </row>
    <row x14ac:dyDescent="0.25" r="24" customHeight="1" ht="18.75" hidden="1">
      <c r="A24" s="65" t="s">
        <v>164</v>
      </c>
      <c r="B24" s="155" t="s">
        <v>199</v>
      </c>
      <c r="C24" s="160">
        <f>VLOOKUP(B24,CONFIGURAÇÃO!H:I,2,FALSE)</f>
      </c>
      <c r="D24" s="66">
        <v>1</v>
      </c>
      <c r="E24" s="147" t="s">
        <v>183</v>
      </c>
      <c r="F24" s="96">
        <f>VLOOKUP(E24,CONFIGURAÇÃO!E:F,2,0)</f>
      </c>
      <c r="G24" s="147" t="s">
        <v>13</v>
      </c>
      <c r="H24" s="96">
        <f>IF(G24="CORTESIA",0,D24*F24)</f>
      </c>
      <c r="I24" s="147" t="s">
        <v>50</v>
      </c>
      <c r="J24" s="149" t="s">
        <v>184</v>
      </c>
      <c r="K24" s="147"/>
      <c r="L24" s="1"/>
      <c r="M24" s="1"/>
      <c r="N24" s="3"/>
    </row>
    <row x14ac:dyDescent="0.25" r="25" customHeight="1" ht="18.75" hidden="1">
      <c r="A25" s="65" t="s">
        <v>159</v>
      </c>
      <c r="B25" s="155" t="s">
        <v>200</v>
      </c>
      <c r="C25" s="160">
        <f>VLOOKUP(B25,CONFIGURAÇÃO!H:I,2,FALSE)</f>
      </c>
      <c r="D25" s="66">
        <v>4</v>
      </c>
      <c r="E25" s="147" t="s">
        <v>72</v>
      </c>
      <c r="F25" s="96">
        <f>VLOOKUP(E25,CONFIGURAÇÃO!E:F,2,0)</f>
      </c>
      <c r="G25" s="147" t="s">
        <v>13</v>
      </c>
      <c r="H25" s="96">
        <f>IF(G25="CORTESIA",0,D25*F25)</f>
      </c>
      <c r="I25" s="147" t="s">
        <v>59</v>
      </c>
      <c r="J25" s="149" t="s">
        <v>184</v>
      </c>
      <c r="K25" s="147"/>
      <c r="L25" s="1"/>
      <c r="M25" s="1"/>
      <c r="N25" s="3"/>
    </row>
    <row x14ac:dyDescent="0.25" r="26" customHeight="1" ht="18.75" hidden="1">
      <c r="A26" s="67" t="s">
        <v>188</v>
      </c>
      <c r="B26" s="154" t="s">
        <v>201</v>
      </c>
      <c r="C26" s="160">
        <f>VLOOKUP(B26,CONFIGURAÇÃO!H:I,2,FALSE)</f>
      </c>
      <c r="D26" s="148">
        <v>1</v>
      </c>
      <c r="E26" s="149" t="s">
        <v>171</v>
      </c>
      <c r="F26" s="96">
        <f>VLOOKUP(E26,CONFIGURAÇÃO!E:F,2,0)</f>
      </c>
      <c r="G26" s="147" t="s">
        <v>73</v>
      </c>
      <c r="H26" s="96">
        <f>IF(G26="CORTESIA",0,D26*F26)</f>
      </c>
      <c r="I26" s="147" t="s">
        <v>50</v>
      </c>
      <c r="J26" s="149" t="s">
        <v>184</v>
      </c>
      <c r="K26" s="147"/>
      <c r="L26" s="1"/>
      <c r="M26" s="1"/>
      <c r="N26" s="3"/>
    </row>
    <row x14ac:dyDescent="0.25" r="27" customHeight="1" ht="18.75" hidden="1">
      <c r="A27" s="67" t="s">
        <v>159</v>
      </c>
      <c r="B27" s="154" t="s">
        <v>21</v>
      </c>
      <c r="C27" s="160">
        <f>VLOOKUP(B27,CONFIGURAÇÃO!H:I,2,FALSE)</f>
      </c>
      <c r="D27" s="148">
        <v>1</v>
      </c>
      <c r="E27" s="149" t="s">
        <v>72</v>
      </c>
      <c r="F27" s="96">
        <f>VLOOKUP(E27,CONFIGURAÇÃO!E:F,2,0)</f>
      </c>
      <c r="G27" s="147" t="s">
        <v>73</v>
      </c>
      <c r="H27" s="96">
        <f>IF(G27="CORTESIA",0,D27*F27)</f>
      </c>
      <c r="I27" s="147" t="s">
        <v>50</v>
      </c>
      <c r="J27" s="149" t="s">
        <v>184</v>
      </c>
      <c r="K27" s="147"/>
      <c r="L27" s="1"/>
      <c r="M27" s="1"/>
      <c r="N27" s="3"/>
    </row>
    <row x14ac:dyDescent="0.25" r="28" customHeight="1" ht="18.75" hidden="1">
      <c r="A28" s="67" t="s">
        <v>159</v>
      </c>
      <c r="B28" s="154" t="s">
        <v>202</v>
      </c>
      <c r="C28" s="160">
        <f>VLOOKUP(B28,CONFIGURAÇÃO!H:I,2,FALSE)</f>
      </c>
      <c r="D28" s="148">
        <v>1</v>
      </c>
      <c r="E28" s="149" t="s">
        <v>72</v>
      </c>
      <c r="F28" s="96">
        <f>VLOOKUP(E28,CONFIGURAÇÃO!E:F,2,0)</f>
      </c>
      <c r="G28" s="147" t="s">
        <v>13</v>
      </c>
      <c r="H28" s="96">
        <f>IF(G28="CORTESIA",0,D28*F28)</f>
      </c>
      <c r="I28" s="147" t="s">
        <v>50</v>
      </c>
      <c r="J28" s="149" t="s">
        <v>184</v>
      </c>
      <c r="K28" s="147"/>
      <c r="L28" s="1"/>
      <c r="M28" s="1"/>
      <c r="N28" s="3"/>
    </row>
    <row x14ac:dyDescent="0.25" r="29" customHeight="1" ht="18.75" hidden="1">
      <c r="A29" s="65" t="s">
        <v>180</v>
      </c>
      <c r="B29" s="155" t="s">
        <v>203</v>
      </c>
      <c r="C29" s="160">
        <f>VLOOKUP(B29,CONFIGURAÇÃO!H:I,2,FALSE)</f>
      </c>
      <c r="D29" s="66">
        <v>1</v>
      </c>
      <c r="E29" s="147" t="s">
        <v>78</v>
      </c>
      <c r="F29" s="96">
        <f>VLOOKUP(E29,CONFIGURAÇÃO!E:F,2,0)</f>
      </c>
      <c r="G29" s="147" t="s">
        <v>13</v>
      </c>
      <c r="H29" s="96">
        <f>IF(G29="CORTESIA",0,D29*F29)</f>
      </c>
      <c r="I29" s="147" t="s">
        <v>50</v>
      </c>
      <c r="J29" s="147"/>
      <c r="K29" s="147"/>
      <c r="L29" s="1"/>
      <c r="M29" s="1"/>
      <c r="N29" s="3"/>
    </row>
    <row x14ac:dyDescent="0.25" r="30" customHeight="1" ht="18.75" hidden="1">
      <c r="A30" s="67" t="s">
        <v>159</v>
      </c>
      <c r="B30" s="154" t="s">
        <v>204</v>
      </c>
      <c r="C30" s="160">
        <f>VLOOKUP(B30,CONFIGURAÇÃO!H:I,2,FALSE)</f>
      </c>
      <c r="D30" s="148">
        <v>1</v>
      </c>
      <c r="E30" s="149" t="s">
        <v>78</v>
      </c>
      <c r="F30" s="96">
        <f>VLOOKUP(E30,CONFIGURAÇÃO!E:F,2,0)</f>
      </c>
      <c r="G30" s="147" t="s">
        <v>13</v>
      </c>
      <c r="H30" s="96">
        <f>IF(G30="CORTESIA",0,D30*F30)</f>
      </c>
      <c r="I30" s="147" t="s">
        <v>50</v>
      </c>
      <c r="J30" s="149" t="s">
        <v>184</v>
      </c>
      <c r="K30" s="147"/>
      <c r="L30" s="1"/>
      <c r="M30" s="1"/>
      <c r="N30" s="3"/>
    </row>
    <row x14ac:dyDescent="0.25" r="31" customHeight="1" ht="18.75" hidden="1">
      <c r="A31" s="65">
        <v>45733</v>
      </c>
      <c r="B31" s="155" t="s">
        <v>101</v>
      </c>
      <c r="C31" s="160">
        <f>VLOOKUP(B31,CONFIGURAÇÃO!H:I,2,FALSE)</f>
      </c>
      <c r="D31" s="66">
        <v>1</v>
      </c>
      <c r="E31" s="147" t="s">
        <v>183</v>
      </c>
      <c r="F31" s="96">
        <f>VLOOKUP(E31,CONFIGURAÇÃO!E:F,2,0)</f>
      </c>
      <c r="G31" s="147" t="s">
        <v>13</v>
      </c>
      <c r="H31" s="96">
        <f>IF(G31="CORTESIA",0,D31*F31)</f>
      </c>
      <c r="I31" s="147" t="s">
        <v>22</v>
      </c>
      <c r="J31" s="149" t="s">
        <v>184</v>
      </c>
      <c r="K31" s="147"/>
      <c r="L31" s="1"/>
      <c r="M31" s="1"/>
      <c r="N31" s="3"/>
    </row>
    <row x14ac:dyDescent="0.25" r="32" customHeight="1" ht="18.75" hidden="1">
      <c r="A32" s="65">
        <v>45733</v>
      </c>
      <c r="B32" s="155" t="s">
        <v>101</v>
      </c>
      <c r="C32" s="160">
        <f>VLOOKUP(B32,CONFIGURAÇÃO!H:I,2,FALSE)</f>
      </c>
      <c r="D32" s="66">
        <v>1</v>
      </c>
      <c r="E32" s="147" t="s">
        <v>78</v>
      </c>
      <c r="F32" s="96">
        <f>VLOOKUP(E32,CONFIGURAÇÃO!E:F,2,0)</f>
      </c>
      <c r="G32" s="147" t="s">
        <v>13</v>
      </c>
      <c r="H32" s="96">
        <f>IF(G32="CORTESIA",0,D32*F32)</f>
      </c>
      <c r="I32" s="147" t="s">
        <v>22</v>
      </c>
      <c r="J32" s="149" t="s">
        <v>184</v>
      </c>
      <c r="K32" s="147"/>
      <c r="L32" s="1"/>
      <c r="M32" s="1"/>
      <c r="N32" s="3"/>
    </row>
    <row x14ac:dyDescent="0.25" r="33" customHeight="1" ht="18.75" hidden="1">
      <c r="A33" s="67">
        <v>45748</v>
      </c>
      <c r="B33" s="154" t="s">
        <v>101</v>
      </c>
      <c r="C33" s="160">
        <f>VLOOKUP(B33,CONFIGURAÇÃO!H:I,2,FALSE)</f>
      </c>
      <c r="D33" s="148">
        <v>2</v>
      </c>
      <c r="E33" s="149" t="s">
        <v>72</v>
      </c>
      <c r="F33" s="96">
        <f>VLOOKUP(E33,CONFIGURAÇÃO!E:F,2,0)</f>
      </c>
      <c r="G33" s="147" t="s">
        <v>13</v>
      </c>
      <c r="H33" s="96">
        <f>IF(G33="CORTESIA",0,D33*F33)</f>
      </c>
      <c r="I33" s="147" t="s">
        <v>22</v>
      </c>
      <c r="J33" s="149" t="s">
        <v>184</v>
      </c>
      <c r="K33" s="147"/>
      <c r="L33" s="1"/>
      <c r="M33" s="1"/>
      <c r="N33" s="3"/>
    </row>
    <row x14ac:dyDescent="0.25" r="34" customHeight="1" ht="18.75" hidden="1">
      <c r="A34" s="67">
        <v>45750</v>
      </c>
      <c r="B34" s="154" t="s">
        <v>101</v>
      </c>
      <c r="C34" s="160">
        <f>VLOOKUP(B34,CONFIGURAÇÃO!H:I,2,FALSE)</f>
      </c>
      <c r="D34" s="148">
        <v>1</v>
      </c>
      <c r="E34" s="149" t="s">
        <v>78</v>
      </c>
      <c r="F34" s="96">
        <f>VLOOKUP(E34,CONFIGURAÇÃO!E:F,2,0)</f>
      </c>
      <c r="G34" s="147" t="s">
        <v>13</v>
      </c>
      <c r="H34" s="96">
        <f>IF(G34="CORTESIA",0,D34*F34)</f>
      </c>
      <c r="I34" s="147" t="s">
        <v>22</v>
      </c>
      <c r="J34" s="149" t="s">
        <v>184</v>
      </c>
      <c r="K34" s="147"/>
      <c r="L34" s="1"/>
      <c r="M34" s="1"/>
      <c r="N34" s="3"/>
    </row>
    <row x14ac:dyDescent="0.25" r="35" customHeight="1" ht="18.75" hidden="1">
      <c r="A35" s="65" t="s">
        <v>172</v>
      </c>
      <c r="B35" s="155" t="s">
        <v>101</v>
      </c>
      <c r="C35" s="160">
        <f>VLOOKUP(B35,CONFIGURAÇÃO!H:I,2,FALSE)</f>
      </c>
      <c r="D35" s="66">
        <v>1</v>
      </c>
      <c r="E35" s="147" t="s">
        <v>78</v>
      </c>
      <c r="F35" s="96">
        <f>VLOOKUP(E35,CONFIGURAÇÃO!E:F,2,0)</f>
      </c>
      <c r="G35" s="147" t="s">
        <v>13</v>
      </c>
      <c r="H35" s="96">
        <f>IF(G35="CORTESIA",0,D35*F35)</f>
      </c>
      <c r="I35" s="147" t="s">
        <v>22</v>
      </c>
      <c r="J35" s="149" t="s">
        <v>184</v>
      </c>
      <c r="K35" s="147"/>
      <c r="L35" s="1"/>
      <c r="M35" s="1"/>
      <c r="N35" s="3"/>
    </row>
    <row x14ac:dyDescent="0.25" r="36" customHeight="1" ht="18.75" hidden="1">
      <c r="A36" s="65" t="s">
        <v>172</v>
      </c>
      <c r="B36" s="155" t="s">
        <v>101</v>
      </c>
      <c r="C36" s="160">
        <f>VLOOKUP(B36,CONFIGURAÇÃO!H:I,2,FALSE)</f>
      </c>
      <c r="D36" s="66">
        <v>1</v>
      </c>
      <c r="E36" s="147" t="s">
        <v>183</v>
      </c>
      <c r="F36" s="96">
        <f>VLOOKUP(E36,CONFIGURAÇÃO!E:F,2,0)</f>
      </c>
      <c r="G36" s="147" t="s">
        <v>13</v>
      </c>
      <c r="H36" s="96">
        <f>IF(G36="CORTESIA",0,D36*F36)</f>
      </c>
      <c r="I36" s="147" t="s">
        <v>22</v>
      </c>
      <c r="J36" s="149" t="s">
        <v>184</v>
      </c>
      <c r="K36" s="147"/>
      <c r="L36" s="1"/>
      <c r="M36" s="1"/>
      <c r="N36" s="3"/>
    </row>
    <row x14ac:dyDescent="0.25" r="37" customHeight="1" ht="18.75" hidden="1">
      <c r="A37" s="65" t="s">
        <v>159</v>
      </c>
      <c r="B37" s="155" t="s">
        <v>101</v>
      </c>
      <c r="C37" s="160">
        <f>VLOOKUP(B37,CONFIGURAÇÃO!H:I,2,FALSE)</f>
      </c>
      <c r="D37" s="66">
        <v>1</v>
      </c>
      <c r="E37" s="147" t="s">
        <v>72</v>
      </c>
      <c r="F37" s="96">
        <f>VLOOKUP(E37,CONFIGURAÇÃO!E:F,2,0)</f>
      </c>
      <c r="G37" s="147" t="s">
        <v>13</v>
      </c>
      <c r="H37" s="96">
        <f>IF(G37="CORTESIA",0,D37*F37)</f>
      </c>
      <c r="I37" s="147" t="s">
        <v>22</v>
      </c>
      <c r="J37" s="149" t="s">
        <v>184</v>
      </c>
      <c r="K37" s="147"/>
      <c r="L37" s="1"/>
      <c r="M37" s="1"/>
      <c r="N37" s="3"/>
    </row>
    <row x14ac:dyDescent="0.25" r="38" customHeight="1" ht="18.75" hidden="1">
      <c r="A38" s="65" t="s">
        <v>159</v>
      </c>
      <c r="B38" s="155" t="s">
        <v>101</v>
      </c>
      <c r="C38" s="160">
        <f>VLOOKUP(B38,CONFIGURAÇÃO!H:I,2,FALSE)</f>
      </c>
      <c r="D38" s="66">
        <v>1</v>
      </c>
      <c r="E38" s="147" t="s">
        <v>78</v>
      </c>
      <c r="F38" s="96">
        <f>VLOOKUP(E38,CONFIGURAÇÃO!E:F,2,0)</f>
      </c>
      <c r="G38" s="147" t="s">
        <v>13</v>
      </c>
      <c r="H38" s="96">
        <f>IF(G38="CORTESIA",0,D38*F38)</f>
      </c>
      <c r="I38" s="147" t="s">
        <v>22</v>
      </c>
      <c r="J38" s="149" t="s">
        <v>184</v>
      </c>
      <c r="K38" s="147"/>
      <c r="L38" s="1"/>
      <c r="M38" s="1"/>
      <c r="N38" s="3"/>
    </row>
    <row x14ac:dyDescent="0.25" r="39" customHeight="1" ht="18.75" hidden="1">
      <c r="A39" s="65" t="s">
        <v>160</v>
      </c>
      <c r="B39" s="155" t="s">
        <v>101</v>
      </c>
      <c r="C39" s="160">
        <f>VLOOKUP(B39,CONFIGURAÇÃO!H:I,2,FALSE)</f>
      </c>
      <c r="D39" s="66">
        <v>1</v>
      </c>
      <c r="E39" s="147" t="s">
        <v>183</v>
      </c>
      <c r="F39" s="96">
        <f>VLOOKUP(E39,CONFIGURAÇÃO!E:F,2,0)</f>
      </c>
      <c r="G39" s="147" t="s">
        <v>13</v>
      </c>
      <c r="H39" s="96">
        <f>IF(G39="CORTESIA",0,D39*F39)</f>
      </c>
      <c r="I39" s="147" t="s">
        <v>22</v>
      </c>
      <c r="J39" s="149" t="s">
        <v>184</v>
      </c>
      <c r="K39" s="147"/>
      <c r="L39" s="1"/>
      <c r="M39" s="1"/>
      <c r="N39" s="3"/>
    </row>
    <row x14ac:dyDescent="0.25" r="40" customHeight="1" ht="18.75" hidden="1">
      <c r="A40" s="65" t="s">
        <v>160</v>
      </c>
      <c r="B40" s="155" t="s">
        <v>101</v>
      </c>
      <c r="C40" s="160">
        <f>VLOOKUP(B40,CONFIGURAÇÃO!H:I,2,FALSE)</f>
      </c>
      <c r="D40" s="66">
        <v>1</v>
      </c>
      <c r="E40" s="147" t="s">
        <v>78</v>
      </c>
      <c r="F40" s="96">
        <f>VLOOKUP(E40,CONFIGURAÇÃO!E:F,2,0)</f>
      </c>
      <c r="G40" s="147" t="s">
        <v>13</v>
      </c>
      <c r="H40" s="96">
        <f>IF(G40="CORTESIA",0,D40*F40)</f>
      </c>
      <c r="I40" s="147" t="s">
        <v>22</v>
      </c>
      <c r="J40" s="149" t="s">
        <v>184</v>
      </c>
      <c r="K40" s="147"/>
      <c r="L40" s="1"/>
      <c r="M40" s="1"/>
      <c r="N40" s="3"/>
    </row>
    <row x14ac:dyDescent="0.25" r="41" customHeight="1" ht="18.75" hidden="1">
      <c r="A41" s="65" t="s">
        <v>205</v>
      </c>
      <c r="B41" s="155" t="s">
        <v>101</v>
      </c>
      <c r="C41" s="160">
        <f>VLOOKUP(B41,CONFIGURAÇÃO!H:I,2,FALSE)</f>
      </c>
      <c r="D41" s="66">
        <v>2</v>
      </c>
      <c r="E41" s="147" t="s">
        <v>72</v>
      </c>
      <c r="F41" s="96">
        <f>VLOOKUP(E41,CONFIGURAÇÃO!E:F,2,0)</f>
      </c>
      <c r="G41" s="147" t="s">
        <v>13</v>
      </c>
      <c r="H41" s="96">
        <f>IF(G41="CORTESIA",0,D41*F41)</f>
      </c>
      <c r="I41" s="147" t="s">
        <v>22</v>
      </c>
      <c r="J41" s="149" t="s">
        <v>184</v>
      </c>
      <c r="K41" s="147"/>
      <c r="L41" s="1"/>
      <c r="M41" s="1"/>
      <c r="N41" s="3"/>
    </row>
    <row x14ac:dyDescent="0.25" r="42" customHeight="1" ht="18.75" hidden="1">
      <c r="A42" s="65" t="s">
        <v>205</v>
      </c>
      <c r="B42" s="155" t="s">
        <v>101</v>
      </c>
      <c r="C42" s="160">
        <f>VLOOKUP(B42,CONFIGURAÇÃO!H:I,2,FALSE)</f>
      </c>
      <c r="D42" s="66">
        <v>1</v>
      </c>
      <c r="E42" s="147" t="s">
        <v>78</v>
      </c>
      <c r="F42" s="96">
        <f>VLOOKUP(E42,CONFIGURAÇÃO!E:F,2,0)</f>
      </c>
      <c r="G42" s="147" t="s">
        <v>13</v>
      </c>
      <c r="H42" s="96">
        <f>IF(G42="CORTESIA",0,D42*F42)</f>
      </c>
      <c r="I42" s="147" t="s">
        <v>22</v>
      </c>
      <c r="J42" s="149" t="s">
        <v>184</v>
      </c>
      <c r="K42" s="147"/>
      <c r="L42" s="1"/>
      <c r="M42" s="1"/>
      <c r="N42" s="3"/>
    </row>
    <row x14ac:dyDescent="0.25" r="43" customHeight="1" ht="18.75" hidden="1">
      <c r="A43" s="67" t="s">
        <v>161</v>
      </c>
      <c r="B43" s="154" t="s">
        <v>101</v>
      </c>
      <c r="C43" s="160">
        <f>VLOOKUP(B43,CONFIGURAÇÃO!H:I,2,FALSE)</f>
      </c>
      <c r="D43" s="148">
        <v>2</v>
      </c>
      <c r="E43" s="149" t="s">
        <v>183</v>
      </c>
      <c r="F43" s="96">
        <f>VLOOKUP(E43,CONFIGURAÇÃO!E:F,2,0)</f>
      </c>
      <c r="G43" s="147" t="s">
        <v>13</v>
      </c>
      <c r="H43" s="96">
        <f>IF(G43="CORTESIA",0,D43*F43)</f>
      </c>
      <c r="I43" s="147" t="s">
        <v>22</v>
      </c>
      <c r="J43" s="149" t="s">
        <v>184</v>
      </c>
      <c r="K43" s="147"/>
      <c r="L43" s="1"/>
      <c r="M43" s="1"/>
      <c r="N43" s="3"/>
    </row>
    <row x14ac:dyDescent="0.25" r="44" customHeight="1" ht="18.75" hidden="1">
      <c r="A44" s="67" t="s">
        <v>162</v>
      </c>
      <c r="B44" s="154" t="s">
        <v>101</v>
      </c>
      <c r="C44" s="160">
        <f>VLOOKUP(B44,CONFIGURAÇÃO!H:I,2,FALSE)</f>
      </c>
      <c r="D44" s="148">
        <v>1</v>
      </c>
      <c r="E44" s="149" t="s">
        <v>78</v>
      </c>
      <c r="F44" s="96">
        <f>VLOOKUP(E44,CONFIGURAÇÃO!E:F,2,0)</f>
      </c>
      <c r="G44" s="147" t="s">
        <v>13</v>
      </c>
      <c r="H44" s="96">
        <f>IF(G44="CORTESIA",0,D44*F44)</f>
      </c>
      <c r="I44" s="147" t="s">
        <v>22</v>
      </c>
      <c r="J44" s="149" t="s">
        <v>184</v>
      </c>
      <c r="K44" s="147"/>
      <c r="L44" s="1"/>
      <c r="M44" s="1"/>
      <c r="N44" s="3"/>
    </row>
    <row x14ac:dyDescent="0.25" r="45" customHeight="1" ht="18.75" hidden="1">
      <c r="A45" s="67" t="s">
        <v>162</v>
      </c>
      <c r="B45" s="154" t="s">
        <v>101</v>
      </c>
      <c r="C45" s="160">
        <f>VLOOKUP(B45,CONFIGURAÇÃO!H:I,2,FALSE)</f>
      </c>
      <c r="D45" s="148">
        <v>1</v>
      </c>
      <c r="E45" s="149" t="s">
        <v>72</v>
      </c>
      <c r="F45" s="96">
        <f>VLOOKUP(E45,CONFIGURAÇÃO!E:F,2,0)</f>
      </c>
      <c r="G45" s="147" t="s">
        <v>13</v>
      </c>
      <c r="H45" s="96">
        <f>IF(G45="CORTESIA",0,D45*F45)</f>
      </c>
      <c r="I45" s="147" t="s">
        <v>22</v>
      </c>
      <c r="J45" s="149" t="s">
        <v>184</v>
      </c>
      <c r="K45" s="147"/>
      <c r="L45" s="1"/>
      <c r="M45" s="1"/>
      <c r="N45" s="3"/>
    </row>
    <row x14ac:dyDescent="0.25" r="46" customHeight="1" ht="18.75" hidden="1">
      <c r="A46" s="67" t="s">
        <v>163</v>
      </c>
      <c r="B46" s="154" t="s">
        <v>101</v>
      </c>
      <c r="C46" s="160">
        <f>VLOOKUP(B46,CONFIGURAÇÃO!H:I,2,FALSE)</f>
      </c>
      <c r="D46" s="148">
        <v>1</v>
      </c>
      <c r="E46" s="149" t="s">
        <v>78</v>
      </c>
      <c r="F46" s="96">
        <f>VLOOKUP(E46,CONFIGURAÇÃO!E:F,2,0)</f>
      </c>
      <c r="G46" s="147" t="s">
        <v>13</v>
      </c>
      <c r="H46" s="96">
        <f>IF(G46="CORTESIA",0,D46*F46)</f>
      </c>
      <c r="I46" s="147" t="s">
        <v>22</v>
      </c>
      <c r="J46" s="149" t="s">
        <v>184</v>
      </c>
      <c r="K46" s="147"/>
      <c r="L46" s="1"/>
      <c r="M46" s="1"/>
      <c r="N46" s="3"/>
    </row>
    <row x14ac:dyDescent="0.25" r="47" customHeight="1" ht="18.75" hidden="1">
      <c r="A47" s="67" t="s">
        <v>163</v>
      </c>
      <c r="B47" s="154" t="s">
        <v>101</v>
      </c>
      <c r="C47" s="160">
        <f>VLOOKUP(B47,CONFIGURAÇÃO!H:I,2,FALSE)</f>
      </c>
      <c r="D47" s="148">
        <v>1</v>
      </c>
      <c r="E47" s="149" t="s">
        <v>183</v>
      </c>
      <c r="F47" s="96">
        <f>VLOOKUP(E47,CONFIGURAÇÃO!E:F,2,0)</f>
      </c>
      <c r="G47" s="147" t="s">
        <v>13</v>
      </c>
      <c r="H47" s="96">
        <f>IF(G47="CORTESIA",0,D47*F47)</f>
      </c>
      <c r="I47" s="147" t="s">
        <v>22</v>
      </c>
      <c r="J47" s="149" t="s">
        <v>184</v>
      </c>
      <c r="K47" s="147"/>
      <c r="L47" s="1"/>
      <c r="M47" s="1"/>
      <c r="N47" s="3"/>
    </row>
    <row x14ac:dyDescent="0.25" r="48" customHeight="1" ht="18.75" hidden="1">
      <c r="A48" s="67" t="s">
        <v>164</v>
      </c>
      <c r="B48" s="154" t="s">
        <v>101</v>
      </c>
      <c r="C48" s="160">
        <f>VLOOKUP(B48,CONFIGURAÇÃO!H:I,2,FALSE)</f>
      </c>
      <c r="D48" s="148">
        <v>1</v>
      </c>
      <c r="E48" s="149" t="s">
        <v>78</v>
      </c>
      <c r="F48" s="96">
        <f>VLOOKUP(E48,CONFIGURAÇÃO!E:F,2,0)</f>
      </c>
      <c r="G48" s="147" t="s">
        <v>13</v>
      </c>
      <c r="H48" s="96">
        <f>IF(G48="CORTESIA",0,D48*F48)</f>
      </c>
      <c r="I48" s="147" t="s">
        <v>22</v>
      </c>
      <c r="J48" s="149" t="s">
        <v>184</v>
      </c>
      <c r="K48" s="147"/>
      <c r="L48" s="1"/>
      <c r="M48" s="1"/>
      <c r="N48" s="3"/>
    </row>
    <row x14ac:dyDescent="0.25" r="49" customHeight="1" ht="18.75" hidden="1">
      <c r="A49" s="67" t="s">
        <v>164</v>
      </c>
      <c r="B49" s="154" t="s">
        <v>101</v>
      </c>
      <c r="C49" s="160">
        <f>VLOOKUP(B49,CONFIGURAÇÃO!H:I,2,FALSE)</f>
      </c>
      <c r="D49" s="148">
        <v>1</v>
      </c>
      <c r="E49" s="149" t="s">
        <v>183</v>
      </c>
      <c r="F49" s="96">
        <f>VLOOKUP(E49,CONFIGURAÇÃO!E:F,2,0)</f>
      </c>
      <c r="G49" s="147" t="s">
        <v>13</v>
      </c>
      <c r="H49" s="96">
        <f>IF(G49="CORTESIA",0,D49*F49)</f>
      </c>
      <c r="I49" s="147" t="s">
        <v>22</v>
      </c>
      <c r="J49" s="149" t="s">
        <v>184</v>
      </c>
      <c r="K49" s="147"/>
      <c r="L49" s="1"/>
      <c r="M49" s="1"/>
      <c r="N49" s="3"/>
    </row>
    <row x14ac:dyDescent="0.25" r="50" customHeight="1" ht="18.75" hidden="1">
      <c r="A50" s="67" t="s">
        <v>159</v>
      </c>
      <c r="B50" s="154" t="s">
        <v>206</v>
      </c>
      <c r="C50" s="160">
        <f>VLOOKUP(B50,CONFIGURAÇÃO!H:I,2,FALSE)</f>
      </c>
      <c r="D50" s="148">
        <v>1</v>
      </c>
      <c r="E50" s="149" t="s">
        <v>78</v>
      </c>
      <c r="F50" s="96">
        <f>VLOOKUP(E50,CONFIGURAÇÃO!E:F,2,0)</f>
      </c>
      <c r="G50" s="147" t="s">
        <v>13</v>
      </c>
      <c r="H50" s="96">
        <f>IF(G50="CORTESIA",0,D50*F50)</f>
      </c>
      <c r="I50" s="147" t="s">
        <v>50</v>
      </c>
      <c r="J50" s="149" t="s">
        <v>184</v>
      </c>
      <c r="K50" s="147"/>
      <c r="L50" s="1"/>
      <c r="M50" s="1"/>
      <c r="N50" s="3"/>
    </row>
    <row x14ac:dyDescent="0.25" r="51" customHeight="1" ht="18.75" hidden="1">
      <c r="A51" s="67" t="s">
        <v>159</v>
      </c>
      <c r="B51" s="154" t="s">
        <v>206</v>
      </c>
      <c r="C51" s="160">
        <f>VLOOKUP(B51,CONFIGURAÇÃO!H:I,2,FALSE)</f>
      </c>
      <c r="D51" s="148">
        <v>1</v>
      </c>
      <c r="E51" s="149" t="s">
        <v>72</v>
      </c>
      <c r="F51" s="96">
        <f>VLOOKUP(E51,CONFIGURAÇÃO!E:F,2,0)</f>
      </c>
      <c r="G51" s="147" t="s">
        <v>13</v>
      </c>
      <c r="H51" s="96">
        <f>IF(G51="CORTESIA",0,D51*F51)</f>
      </c>
      <c r="I51" s="147" t="s">
        <v>50</v>
      </c>
      <c r="J51" s="149" t="s">
        <v>184</v>
      </c>
      <c r="K51" s="147"/>
      <c r="L51" s="1"/>
      <c r="M51" s="1"/>
      <c r="N51" s="3"/>
    </row>
    <row x14ac:dyDescent="0.25" r="52" customHeight="1" ht="18.75" hidden="1">
      <c r="A52" s="67" t="s">
        <v>198</v>
      </c>
      <c r="B52" s="154" t="s">
        <v>207</v>
      </c>
      <c r="C52" s="160">
        <f>VLOOKUP(B52,CONFIGURAÇÃO!H:I,2,FALSE)</f>
      </c>
      <c r="D52" s="148">
        <v>1</v>
      </c>
      <c r="E52" s="149" t="s">
        <v>183</v>
      </c>
      <c r="F52" s="96">
        <f>VLOOKUP(E52,CONFIGURAÇÃO!E:F,2,0)</f>
      </c>
      <c r="G52" s="147" t="s">
        <v>13</v>
      </c>
      <c r="H52" s="96">
        <f>IF(G52="CORTESIA",0,D52*F52)</f>
      </c>
      <c r="I52" s="147" t="s">
        <v>50</v>
      </c>
      <c r="J52" s="149" t="s">
        <v>184</v>
      </c>
      <c r="K52" s="147"/>
      <c r="L52" s="1"/>
      <c r="M52" s="1"/>
      <c r="N52" s="3"/>
    </row>
    <row x14ac:dyDescent="0.25" r="53" customHeight="1" ht="18.75" hidden="1">
      <c r="A53" s="67" t="s">
        <v>178</v>
      </c>
      <c r="B53" s="154" t="s">
        <v>207</v>
      </c>
      <c r="C53" s="160">
        <f>VLOOKUP(B53,CONFIGURAÇÃO!H:I,2,FALSE)</f>
      </c>
      <c r="D53" s="148">
        <v>1</v>
      </c>
      <c r="E53" s="149" t="s">
        <v>72</v>
      </c>
      <c r="F53" s="96">
        <f>VLOOKUP(E53,CONFIGURAÇÃO!E:F,2,0)</f>
      </c>
      <c r="G53" s="147" t="s">
        <v>13</v>
      </c>
      <c r="H53" s="96">
        <f>IF(G53="CORTESIA",0,D53*F53)</f>
      </c>
      <c r="I53" s="147" t="s">
        <v>50</v>
      </c>
      <c r="J53" s="149" t="s">
        <v>184</v>
      </c>
      <c r="K53" s="147"/>
      <c r="L53" s="1"/>
      <c r="M53" s="1"/>
      <c r="N53" s="3"/>
    </row>
    <row x14ac:dyDescent="0.25" r="54" customHeight="1" ht="18.75" hidden="1">
      <c r="A54" s="67" t="s">
        <v>178</v>
      </c>
      <c r="B54" s="154" t="s">
        <v>207</v>
      </c>
      <c r="C54" s="160">
        <f>VLOOKUP(B54,CONFIGURAÇÃO!H:I,2,FALSE)</f>
      </c>
      <c r="D54" s="148">
        <v>1</v>
      </c>
      <c r="E54" s="149" t="s">
        <v>72</v>
      </c>
      <c r="F54" s="96">
        <f>VLOOKUP(E54,CONFIGURAÇÃO!E:F,2,0)</f>
      </c>
      <c r="G54" s="147" t="s">
        <v>13</v>
      </c>
      <c r="H54" s="96">
        <f>IF(G54="CORTESIA",0,D54*F54)</f>
      </c>
      <c r="I54" s="147" t="s">
        <v>50</v>
      </c>
      <c r="J54" s="149" t="s">
        <v>184</v>
      </c>
      <c r="K54" s="147"/>
      <c r="L54" s="1"/>
      <c r="M54" s="1"/>
      <c r="N54" s="3"/>
    </row>
    <row x14ac:dyDescent="0.25" r="55" customHeight="1" ht="18.75" hidden="1">
      <c r="A55" s="67">
        <v>45740</v>
      </c>
      <c r="B55" s="154" t="s">
        <v>208</v>
      </c>
      <c r="C55" s="160">
        <f>VLOOKUP(B55,CONFIGURAÇÃO!H:I,2,FALSE)</f>
      </c>
      <c r="D55" s="148">
        <v>2</v>
      </c>
      <c r="E55" s="149" t="s">
        <v>78</v>
      </c>
      <c r="F55" s="96">
        <f>VLOOKUP(E55,CONFIGURAÇÃO!E:F,2,0)</f>
      </c>
      <c r="G55" s="147" t="s">
        <v>13</v>
      </c>
      <c r="H55" s="96">
        <f>IF(G55="CORTESIA",0,D55*F55)</f>
      </c>
      <c r="I55" s="147" t="s">
        <v>50</v>
      </c>
      <c r="J55" s="149" t="s">
        <v>184</v>
      </c>
      <c r="K55" s="147"/>
      <c r="L55" s="1"/>
      <c r="M55" s="1"/>
      <c r="N55" s="3"/>
    </row>
    <row x14ac:dyDescent="0.25" r="56" customHeight="1" ht="18.75" hidden="1">
      <c r="A56" s="67" t="s">
        <v>198</v>
      </c>
      <c r="B56" s="154" t="s">
        <v>208</v>
      </c>
      <c r="C56" s="160">
        <f>VLOOKUP(B56,CONFIGURAÇÃO!H:I,2,FALSE)</f>
      </c>
      <c r="D56" s="148">
        <v>1</v>
      </c>
      <c r="E56" s="149" t="s">
        <v>183</v>
      </c>
      <c r="F56" s="96">
        <f>VLOOKUP(E56,CONFIGURAÇÃO!E:F,2,0)</f>
      </c>
      <c r="G56" s="147" t="s">
        <v>13</v>
      </c>
      <c r="H56" s="96">
        <f>IF(G56="CORTESIA",0,D56*F56)</f>
      </c>
      <c r="I56" s="147" t="s">
        <v>50</v>
      </c>
      <c r="J56" s="149" t="s">
        <v>184</v>
      </c>
      <c r="K56" s="147"/>
      <c r="L56" s="1"/>
      <c r="M56" s="1"/>
      <c r="N56" s="3"/>
    </row>
    <row x14ac:dyDescent="0.25" r="57" customHeight="1" ht="18.75" hidden="1">
      <c r="A57" s="67" t="s">
        <v>178</v>
      </c>
      <c r="B57" s="154" t="s">
        <v>208</v>
      </c>
      <c r="C57" s="160">
        <f>VLOOKUP(B57,CONFIGURAÇÃO!H:I,2,FALSE)</f>
      </c>
      <c r="D57" s="148">
        <v>2</v>
      </c>
      <c r="E57" s="149" t="s">
        <v>78</v>
      </c>
      <c r="F57" s="96">
        <f>VLOOKUP(E57,CONFIGURAÇÃO!E:F,2,0)</f>
      </c>
      <c r="G57" s="147" t="s">
        <v>13</v>
      </c>
      <c r="H57" s="96">
        <f>IF(G57="CORTESIA",0,D57*F57)</f>
      </c>
      <c r="I57" s="147" t="s">
        <v>50</v>
      </c>
      <c r="J57" s="149" t="s">
        <v>184</v>
      </c>
      <c r="K57" s="147"/>
      <c r="L57" s="1"/>
      <c r="M57" s="1"/>
      <c r="N57" s="3"/>
    </row>
    <row x14ac:dyDescent="0.25" r="58" customHeight="1" ht="18.75" hidden="1">
      <c r="A58" s="67" t="s">
        <v>172</v>
      </c>
      <c r="B58" s="154" t="s">
        <v>208</v>
      </c>
      <c r="C58" s="160">
        <f>VLOOKUP(B58,CONFIGURAÇÃO!H:I,2,FALSE)</f>
      </c>
      <c r="D58" s="148">
        <v>1</v>
      </c>
      <c r="E58" s="149" t="s">
        <v>78</v>
      </c>
      <c r="F58" s="96">
        <f>VLOOKUP(E58,CONFIGURAÇÃO!E:F,2,0)</f>
      </c>
      <c r="G58" s="147" t="s">
        <v>13</v>
      </c>
      <c r="H58" s="96">
        <f>IF(G58="CORTESIA",0,D58*F58)</f>
      </c>
      <c r="I58" s="147" t="s">
        <v>50</v>
      </c>
      <c r="J58" s="149" t="s">
        <v>184</v>
      </c>
      <c r="K58" s="147"/>
      <c r="L58" s="1"/>
      <c r="M58" s="1"/>
      <c r="N58" s="3"/>
    </row>
    <row x14ac:dyDescent="0.25" r="59" customHeight="1" ht="18.75" hidden="1">
      <c r="A59" s="65" t="s">
        <v>177</v>
      </c>
      <c r="B59" s="155" t="s">
        <v>209</v>
      </c>
      <c r="C59" s="160">
        <f>VLOOKUP(B59,CONFIGURAÇÃO!H:I,2,FALSE)</f>
      </c>
      <c r="D59" s="66">
        <v>1</v>
      </c>
      <c r="E59" s="147" t="s">
        <v>183</v>
      </c>
      <c r="F59" s="96">
        <f>VLOOKUP(E59,CONFIGURAÇÃO!E:F,2,0)</f>
      </c>
      <c r="G59" s="147" t="s">
        <v>13</v>
      </c>
      <c r="H59" s="96">
        <f>IF(G59="CORTESIA",0,D59*F59)</f>
      </c>
      <c r="I59" s="147" t="s">
        <v>22</v>
      </c>
      <c r="J59" s="149" t="s">
        <v>184</v>
      </c>
      <c r="K59" s="147"/>
      <c r="L59" s="1"/>
      <c r="M59" s="1"/>
      <c r="N59" s="3"/>
    </row>
    <row x14ac:dyDescent="0.25" r="60" customHeight="1" ht="18.75" hidden="1">
      <c r="A60" s="65" t="s">
        <v>205</v>
      </c>
      <c r="B60" s="155" t="s">
        <v>209</v>
      </c>
      <c r="C60" s="160">
        <f>VLOOKUP(B60,CONFIGURAÇÃO!H:I,2,FALSE)</f>
      </c>
      <c r="D60" s="66">
        <v>1</v>
      </c>
      <c r="E60" s="147" t="s">
        <v>72</v>
      </c>
      <c r="F60" s="96">
        <f>VLOOKUP(E60,CONFIGURAÇÃO!E:F,2,0)</f>
      </c>
      <c r="G60" s="147" t="s">
        <v>13</v>
      </c>
      <c r="H60" s="96">
        <f>IF(G60="CORTESIA",0,D60*F60)</f>
      </c>
      <c r="I60" s="147" t="s">
        <v>22</v>
      </c>
      <c r="J60" s="149" t="s">
        <v>184</v>
      </c>
      <c r="K60" s="147"/>
      <c r="L60" s="1"/>
      <c r="M60" s="1"/>
      <c r="N60" s="3"/>
    </row>
    <row x14ac:dyDescent="0.25" r="61" customHeight="1" ht="18.75" hidden="1">
      <c r="A61" s="67">
        <v>45741</v>
      </c>
      <c r="B61" s="154" t="s">
        <v>136</v>
      </c>
      <c r="C61" s="160">
        <f>VLOOKUP(B61,CONFIGURAÇÃO!H:I,2,FALSE)</f>
      </c>
      <c r="D61" s="148">
        <v>1</v>
      </c>
      <c r="E61" s="149" t="s">
        <v>183</v>
      </c>
      <c r="F61" s="96">
        <f>VLOOKUP(E61,CONFIGURAÇÃO!E:F,2,0)</f>
      </c>
      <c r="G61" s="147" t="s">
        <v>13</v>
      </c>
      <c r="H61" s="96">
        <f>IF(G61="CORTESIA",0,D61*F61)</f>
      </c>
      <c r="I61" s="147" t="s">
        <v>22</v>
      </c>
      <c r="J61" s="149" t="s">
        <v>184</v>
      </c>
      <c r="K61" s="147"/>
      <c r="L61" s="1"/>
      <c r="M61" s="1"/>
      <c r="N61" s="3"/>
    </row>
    <row x14ac:dyDescent="0.25" r="62" customHeight="1" ht="18.75" hidden="1">
      <c r="A62" s="67">
        <v>45748</v>
      </c>
      <c r="B62" s="154" t="s">
        <v>136</v>
      </c>
      <c r="C62" s="160">
        <f>VLOOKUP(B62,CONFIGURAÇÃO!H:I,2,FALSE)</f>
      </c>
      <c r="D62" s="148">
        <v>1</v>
      </c>
      <c r="E62" s="149" t="s">
        <v>72</v>
      </c>
      <c r="F62" s="96">
        <f>VLOOKUP(E62,CONFIGURAÇÃO!E:F,2,0)</f>
      </c>
      <c r="G62" s="147" t="s">
        <v>13</v>
      </c>
      <c r="H62" s="96">
        <f>IF(G62="CORTESIA",0,D62*F62)</f>
      </c>
      <c r="I62" s="147" t="s">
        <v>22</v>
      </c>
      <c r="J62" s="149" t="s">
        <v>184</v>
      </c>
      <c r="K62" s="147"/>
      <c r="L62" s="1"/>
      <c r="M62" s="1"/>
      <c r="N62" s="3"/>
    </row>
    <row x14ac:dyDescent="0.25" r="63" customHeight="1" ht="18.75" hidden="1">
      <c r="A63" s="67">
        <v>45749</v>
      </c>
      <c r="B63" s="154" t="s">
        <v>136</v>
      </c>
      <c r="C63" s="160">
        <f>VLOOKUP(B63,CONFIGURAÇÃO!H:I,2,FALSE)</f>
      </c>
      <c r="D63" s="148">
        <v>1</v>
      </c>
      <c r="E63" s="149" t="s">
        <v>183</v>
      </c>
      <c r="F63" s="96">
        <f>VLOOKUP(E63,CONFIGURAÇÃO!E:F,2,0)</f>
      </c>
      <c r="G63" s="147" t="s">
        <v>13</v>
      </c>
      <c r="H63" s="96">
        <f>IF(G63="CORTESIA",0,D63*F63)</f>
      </c>
      <c r="I63" s="147" t="s">
        <v>22</v>
      </c>
      <c r="J63" s="149" t="s">
        <v>184</v>
      </c>
      <c r="K63" s="147"/>
      <c r="L63" s="1"/>
      <c r="M63" s="1"/>
      <c r="N63" s="3"/>
    </row>
    <row x14ac:dyDescent="0.25" r="64" customHeight="1" ht="18.75" hidden="1">
      <c r="A64" s="65" t="s">
        <v>160</v>
      </c>
      <c r="B64" s="155" t="s">
        <v>136</v>
      </c>
      <c r="C64" s="160">
        <f>VLOOKUP(B64,CONFIGURAÇÃO!H:I,2,FALSE)</f>
      </c>
      <c r="D64" s="66">
        <v>1</v>
      </c>
      <c r="E64" s="147" t="s">
        <v>78</v>
      </c>
      <c r="F64" s="96">
        <f>VLOOKUP(E64,CONFIGURAÇÃO!E:F,2,0)</f>
      </c>
      <c r="G64" s="147" t="s">
        <v>13</v>
      </c>
      <c r="H64" s="96">
        <f>IF(G64="CORTESIA",0,D64*F64)</f>
      </c>
      <c r="I64" s="147" t="s">
        <v>22</v>
      </c>
      <c r="J64" s="149" t="s">
        <v>184</v>
      </c>
      <c r="K64" s="147"/>
      <c r="L64" s="1"/>
      <c r="M64" s="1"/>
      <c r="N64" s="3"/>
    </row>
    <row x14ac:dyDescent="0.25" r="65" customHeight="1" ht="18.75" hidden="1">
      <c r="A65" s="65" t="s">
        <v>205</v>
      </c>
      <c r="B65" s="155" t="s">
        <v>136</v>
      </c>
      <c r="C65" s="160">
        <f>VLOOKUP(B65,CONFIGURAÇÃO!H:I,2,FALSE)</f>
      </c>
      <c r="D65" s="66">
        <v>1</v>
      </c>
      <c r="E65" s="147" t="s">
        <v>72</v>
      </c>
      <c r="F65" s="96">
        <f>VLOOKUP(E65,CONFIGURAÇÃO!E:F,2,0)</f>
      </c>
      <c r="G65" s="147" t="s">
        <v>13</v>
      </c>
      <c r="H65" s="96">
        <f>IF(G65="CORTESIA",0,D65*F65)</f>
      </c>
      <c r="I65" s="147" t="s">
        <v>22</v>
      </c>
      <c r="J65" s="149" t="s">
        <v>184</v>
      </c>
      <c r="K65" s="147"/>
      <c r="L65" s="1"/>
      <c r="M65" s="1"/>
      <c r="N65" s="3"/>
    </row>
    <row x14ac:dyDescent="0.25" r="66" customHeight="1" ht="18.75" hidden="1">
      <c r="A66" s="67" t="s">
        <v>163</v>
      </c>
      <c r="B66" s="154" t="s">
        <v>136</v>
      </c>
      <c r="C66" s="160">
        <f>VLOOKUP(B66,CONFIGURAÇÃO!H:I,2,FALSE)</f>
      </c>
      <c r="D66" s="148">
        <v>1</v>
      </c>
      <c r="E66" s="149" t="s">
        <v>78</v>
      </c>
      <c r="F66" s="96">
        <f>VLOOKUP(E66,CONFIGURAÇÃO!E:F,2,0)</f>
      </c>
      <c r="G66" s="147" t="s">
        <v>13</v>
      </c>
      <c r="H66" s="96">
        <f>IF(G66="CORTESIA",0,D66*F66)</f>
      </c>
      <c r="I66" s="147" t="s">
        <v>22</v>
      </c>
      <c r="J66" s="149" t="s">
        <v>184</v>
      </c>
      <c r="K66" s="147"/>
      <c r="L66" s="1"/>
      <c r="M66" s="1"/>
      <c r="N66" s="3"/>
    </row>
    <row x14ac:dyDescent="0.25" r="67" customHeight="1" ht="18.75" hidden="1">
      <c r="A67" s="65" t="s">
        <v>159</v>
      </c>
      <c r="B67" s="155" t="s">
        <v>210</v>
      </c>
      <c r="C67" s="160">
        <f>VLOOKUP(B67,CONFIGURAÇÃO!H:I,2,FALSE)</f>
      </c>
      <c r="D67" s="66">
        <v>3</v>
      </c>
      <c r="E67" s="147" t="s">
        <v>72</v>
      </c>
      <c r="F67" s="96">
        <f>VLOOKUP(E67,CONFIGURAÇÃO!E:F,2,0)</f>
      </c>
      <c r="G67" s="147" t="s">
        <v>13</v>
      </c>
      <c r="H67" s="96">
        <f>IF(G67="CORTESIA",0,D67*F67)</f>
      </c>
      <c r="I67" s="147" t="s">
        <v>19</v>
      </c>
      <c r="J67" s="149" t="s">
        <v>184</v>
      </c>
      <c r="K67" s="147"/>
      <c r="L67" s="1"/>
      <c r="M67" s="1"/>
      <c r="N67" s="3"/>
    </row>
    <row x14ac:dyDescent="0.25" r="68" customHeight="1" ht="18.75" hidden="1">
      <c r="A68" s="65" t="s">
        <v>172</v>
      </c>
      <c r="B68" s="155" t="s">
        <v>210</v>
      </c>
      <c r="C68" s="160">
        <f>VLOOKUP(B68,CONFIGURAÇÃO!H:I,2,FALSE)</f>
      </c>
      <c r="D68" s="66">
        <v>2</v>
      </c>
      <c r="E68" s="147" t="s">
        <v>183</v>
      </c>
      <c r="F68" s="96">
        <f>VLOOKUP(E68,CONFIGURAÇÃO!E:F,2,0)</f>
      </c>
      <c r="G68" s="147" t="s">
        <v>13</v>
      </c>
      <c r="H68" s="96">
        <f>IF(G68="CORTESIA",0,D68*F68)</f>
      </c>
      <c r="I68" s="147" t="s">
        <v>19</v>
      </c>
      <c r="J68" s="149" t="s">
        <v>184</v>
      </c>
      <c r="K68" s="147"/>
      <c r="L68" s="1"/>
      <c r="M68" s="1"/>
      <c r="N68" s="3"/>
    </row>
    <row x14ac:dyDescent="0.25" r="69" customHeight="1" ht="18.75" hidden="1">
      <c r="A69" s="67" t="s">
        <v>160</v>
      </c>
      <c r="B69" s="154" t="s">
        <v>211</v>
      </c>
      <c r="C69" s="160">
        <f>VLOOKUP(B69,CONFIGURAÇÃO!H:I,2,FALSE)</f>
      </c>
      <c r="D69" s="148">
        <v>1</v>
      </c>
      <c r="E69" s="149" t="s">
        <v>183</v>
      </c>
      <c r="F69" s="96">
        <f>VLOOKUP(E69,CONFIGURAÇÃO!E:F,2,0)</f>
      </c>
      <c r="G69" s="147" t="s">
        <v>73</v>
      </c>
      <c r="H69" s="96">
        <f>IF(G69="CORTESIA",0,D69*F69)</f>
      </c>
      <c r="I69" s="147" t="s">
        <v>50</v>
      </c>
      <c r="J69" s="149" t="s">
        <v>184</v>
      </c>
      <c r="K69" s="147"/>
      <c r="L69" s="1"/>
      <c r="M69" s="1"/>
      <c r="N69" s="3"/>
    </row>
    <row x14ac:dyDescent="0.25" r="70" customHeight="1" ht="18.75" hidden="1">
      <c r="A70" s="65" t="s">
        <v>172</v>
      </c>
      <c r="B70" s="155" t="s">
        <v>147</v>
      </c>
      <c r="C70" s="160">
        <f>VLOOKUP(B70,CONFIGURAÇÃO!H:I,2,FALSE)</f>
      </c>
      <c r="D70" s="66">
        <v>1</v>
      </c>
      <c r="E70" s="147" t="s">
        <v>183</v>
      </c>
      <c r="F70" s="96">
        <f>VLOOKUP(E70,CONFIGURAÇÃO!E:F,2,0)</f>
      </c>
      <c r="G70" s="147" t="s">
        <v>13</v>
      </c>
      <c r="H70" s="96">
        <f>IF(G70="CORTESIA",0,D70*F70)</f>
      </c>
      <c r="I70" s="147" t="s">
        <v>22</v>
      </c>
      <c r="J70" s="149" t="s">
        <v>184</v>
      </c>
      <c r="K70" s="147"/>
      <c r="L70" s="1"/>
      <c r="M70" s="1"/>
      <c r="N70" s="3"/>
    </row>
    <row x14ac:dyDescent="0.25" r="71" customHeight="1" ht="18.75" hidden="1">
      <c r="A71" s="67" t="s">
        <v>178</v>
      </c>
      <c r="B71" s="154" t="s">
        <v>212</v>
      </c>
      <c r="C71" s="160">
        <f>VLOOKUP(B71,CONFIGURAÇÃO!H:I,2,FALSE)</f>
      </c>
      <c r="D71" s="148">
        <v>1</v>
      </c>
      <c r="E71" s="149" t="s">
        <v>72</v>
      </c>
      <c r="F71" s="96">
        <f>VLOOKUP(E71,CONFIGURAÇÃO!E:F,2,0)</f>
      </c>
      <c r="G71" s="147" t="s">
        <v>13</v>
      </c>
      <c r="H71" s="96">
        <f>IF(G71="CORTESIA",0,D71*F71)</f>
      </c>
      <c r="I71" s="147" t="s">
        <v>50</v>
      </c>
      <c r="J71" s="149" t="s">
        <v>184</v>
      </c>
      <c r="K71" s="147" t="s">
        <v>213</v>
      </c>
      <c r="L71" s="1"/>
      <c r="M71" s="1"/>
      <c r="N71" s="3"/>
    </row>
    <row x14ac:dyDescent="0.25" r="72" customHeight="1" ht="18.75" hidden="1">
      <c r="A72" s="65" t="s">
        <v>189</v>
      </c>
      <c r="B72" s="155" t="s">
        <v>212</v>
      </c>
      <c r="C72" s="160">
        <f>VLOOKUP(B72,CONFIGURAÇÃO!H:I,2,FALSE)</f>
      </c>
      <c r="D72" s="66">
        <v>1</v>
      </c>
      <c r="E72" s="147" t="s">
        <v>72</v>
      </c>
      <c r="F72" s="96">
        <f>VLOOKUP(E72,CONFIGURAÇÃO!E:F,2,0)</f>
      </c>
      <c r="G72" s="147" t="s">
        <v>13</v>
      </c>
      <c r="H72" s="96">
        <f>IF(G72="CORTESIA",0,D72*F72)</f>
      </c>
      <c r="I72" s="147" t="s">
        <v>50</v>
      </c>
      <c r="J72" s="147"/>
      <c r="K72" s="147"/>
      <c r="L72" s="1"/>
      <c r="M72" s="1"/>
      <c r="N72" s="3"/>
    </row>
    <row x14ac:dyDescent="0.25" r="73" customHeight="1" ht="18.75" hidden="1">
      <c r="A73" s="67">
        <v>45740</v>
      </c>
      <c r="B73" s="154" t="s">
        <v>214</v>
      </c>
      <c r="C73" s="160">
        <f>VLOOKUP(B73,CONFIGURAÇÃO!H:I,2,FALSE)</f>
      </c>
      <c r="D73" s="148">
        <v>1</v>
      </c>
      <c r="E73" s="149" t="s">
        <v>72</v>
      </c>
      <c r="F73" s="96">
        <f>VLOOKUP(E73,CONFIGURAÇÃO!E:F,2,0)</f>
      </c>
      <c r="G73" s="147" t="s">
        <v>73</v>
      </c>
      <c r="H73" s="96">
        <f>IF(G73="CORTESIA",0,D73*F73)</f>
      </c>
      <c r="I73" s="147" t="s">
        <v>50</v>
      </c>
      <c r="J73" s="149" t="s">
        <v>184</v>
      </c>
      <c r="K73" s="147"/>
      <c r="L73" s="1"/>
      <c r="M73" s="1"/>
      <c r="N73" s="3"/>
    </row>
    <row x14ac:dyDescent="0.25" r="74" customHeight="1" ht="18.75" hidden="1">
      <c r="A74" s="67" t="s">
        <v>159</v>
      </c>
      <c r="B74" s="154" t="s">
        <v>214</v>
      </c>
      <c r="C74" s="160">
        <f>VLOOKUP(B74,CONFIGURAÇÃO!H:I,2,FALSE)</f>
      </c>
      <c r="D74" s="148">
        <v>1</v>
      </c>
      <c r="E74" s="149" t="s">
        <v>72</v>
      </c>
      <c r="F74" s="96">
        <f>VLOOKUP(E74,CONFIGURAÇÃO!E:F,2,0)</f>
      </c>
      <c r="G74" s="147" t="s">
        <v>73</v>
      </c>
      <c r="H74" s="96">
        <f>IF(G74="CORTESIA",0,D74*F74)</f>
      </c>
      <c r="I74" s="147" t="s">
        <v>50</v>
      </c>
      <c r="J74" s="149" t="s">
        <v>184</v>
      </c>
      <c r="K74" s="147"/>
      <c r="L74" s="1"/>
      <c r="M74" s="1"/>
      <c r="N74" s="3"/>
    </row>
    <row x14ac:dyDescent="0.25" r="75" customHeight="1" ht="18.75" hidden="1">
      <c r="A75" s="65" t="s">
        <v>188</v>
      </c>
      <c r="B75" s="155" t="s">
        <v>215</v>
      </c>
      <c r="C75" s="160">
        <f>VLOOKUP(B75,CONFIGURAÇÃO!H:I,2,FALSE)</f>
      </c>
      <c r="D75" s="66">
        <v>1</v>
      </c>
      <c r="E75" s="147" t="s">
        <v>78</v>
      </c>
      <c r="F75" s="96">
        <f>VLOOKUP(E75,CONFIGURAÇÃO!E:F,2,0)</f>
      </c>
      <c r="G75" s="147" t="s">
        <v>13</v>
      </c>
      <c r="H75" s="96">
        <f>IF(G75="CORTESIA",0,D75*F75)</f>
      </c>
      <c r="I75" s="147" t="s">
        <v>22</v>
      </c>
      <c r="J75" s="149" t="s">
        <v>184</v>
      </c>
      <c r="K75" s="147"/>
      <c r="L75" s="1"/>
      <c r="M75" s="1"/>
      <c r="N75" s="3"/>
    </row>
    <row x14ac:dyDescent="0.25" r="76" customHeight="1" ht="18.75" hidden="1">
      <c r="A76" s="67" t="s">
        <v>198</v>
      </c>
      <c r="B76" s="154" t="s">
        <v>216</v>
      </c>
      <c r="C76" s="160">
        <f>VLOOKUP(B76,CONFIGURAÇÃO!H:I,2,FALSE)</f>
      </c>
      <c r="D76" s="148">
        <v>1</v>
      </c>
      <c r="E76" s="149" t="s">
        <v>183</v>
      </c>
      <c r="F76" s="96">
        <f>VLOOKUP(E76,CONFIGURAÇÃO!E:F,2,0)</f>
      </c>
      <c r="G76" s="147" t="s">
        <v>73</v>
      </c>
      <c r="H76" s="96">
        <f>IF(G76="CORTESIA",0,D76*F76)</f>
      </c>
      <c r="I76" s="147" t="s">
        <v>50</v>
      </c>
      <c r="J76" s="149" t="s">
        <v>184</v>
      </c>
      <c r="K76" s="147"/>
      <c r="L76" s="1"/>
      <c r="M76" s="1"/>
      <c r="N76" s="3"/>
    </row>
    <row x14ac:dyDescent="0.25" r="77" customHeight="1" ht="18.75" hidden="1">
      <c r="A77" s="67" t="s">
        <v>159</v>
      </c>
      <c r="B77" s="154" t="s">
        <v>216</v>
      </c>
      <c r="C77" s="160">
        <f>VLOOKUP(B77,CONFIGURAÇÃO!H:I,2,FALSE)</f>
      </c>
      <c r="D77" s="148">
        <v>1</v>
      </c>
      <c r="E77" s="149" t="s">
        <v>72</v>
      </c>
      <c r="F77" s="96">
        <f>VLOOKUP(E77,CONFIGURAÇÃO!E:F,2,0)</f>
      </c>
      <c r="G77" s="147" t="s">
        <v>73</v>
      </c>
      <c r="H77" s="96">
        <f>IF(G77="CORTESIA",0,D77*F77)</f>
      </c>
      <c r="I77" s="147" t="s">
        <v>50</v>
      </c>
      <c r="J77" s="149" t="s">
        <v>184</v>
      </c>
      <c r="K77" s="147"/>
      <c r="L77" s="1"/>
      <c r="M77" s="1"/>
      <c r="N77" s="3"/>
    </row>
    <row x14ac:dyDescent="0.25" r="78" customHeight="1" ht="18.75" hidden="1">
      <c r="A78" s="67" t="s">
        <v>172</v>
      </c>
      <c r="B78" s="154" t="s">
        <v>217</v>
      </c>
      <c r="C78" s="160">
        <f>VLOOKUP(B78,CONFIGURAÇÃO!H:I,2,FALSE)</f>
      </c>
      <c r="D78" s="148">
        <v>1</v>
      </c>
      <c r="E78" s="149" t="s">
        <v>78</v>
      </c>
      <c r="F78" s="96">
        <f>VLOOKUP(E78,CONFIGURAÇÃO!E:F,2,0)</f>
      </c>
      <c r="G78" s="147" t="s">
        <v>73</v>
      </c>
      <c r="H78" s="96">
        <f>IF(G78="CORTESIA",0,D78*F78)</f>
      </c>
      <c r="I78" s="147" t="s">
        <v>50</v>
      </c>
      <c r="J78" s="149" t="s">
        <v>184</v>
      </c>
      <c r="K78" s="147"/>
      <c r="L78" s="1"/>
      <c r="M78" s="1"/>
      <c r="N78" s="3"/>
    </row>
    <row x14ac:dyDescent="0.25" r="79" customHeight="1" ht="18.75" hidden="1">
      <c r="A79" s="67" t="s">
        <v>159</v>
      </c>
      <c r="B79" s="154" t="s">
        <v>217</v>
      </c>
      <c r="C79" s="160">
        <f>VLOOKUP(B79,CONFIGURAÇÃO!H:I,2,FALSE)</f>
      </c>
      <c r="D79" s="148">
        <v>1</v>
      </c>
      <c r="E79" s="149" t="s">
        <v>78</v>
      </c>
      <c r="F79" s="96">
        <f>VLOOKUP(E79,CONFIGURAÇÃO!E:F,2,0)</f>
      </c>
      <c r="G79" s="147" t="s">
        <v>73</v>
      </c>
      <c r="H79" s="96">
        <f>IF(G79="CORTESIA",0,D79*F79)</f>
      </c>
      <c r="I79" s="147" t="s">
        <v>50</v>
      </c>
      <c r="J79" s="149" t="s">
        <v>184</v>
      </c>
      <c r="K79" s="147"/>
      <c r="L79" s="1"/>
      <c r="M79" s="1"/>
      <c r="N79" s="3"/>
    </row>
    <row x14ac:dyDescent="0.25" r="80" customHeight="1" ht="18.75" hidden="1">
      <c r="A80" s="67" t="s">
        <v>159</v>
      </c>
      <c r="B80" s="154" t="s">
        <v>217</v>
      </c>
      <c r="C80" s="160">
        <f>VLOOKUP(B80,CONFIGURAÇÃO!H:I,2,FALSE)</f>
      </c>
      <c r="D80" s="148">
        <v>1</v>
      </c>
      <c r="E80" s="149" t="s">
        <v>72</v>
      </c>
      <c r="F80" s="96">
        <f>VLOOKUP(E80,CONFIGURAÇÃO!E:F,2,0)</f>
      </c>
      <c r="G80" s="147" t="s">
        <v>73</v>
      </c>
      <c r="H80" s="96">
        <f>IF(G80="CORTESIA",0,D80*F80)</f>
      </c>
      <c r="I80" s="147" t="s">
        <v>50</v>
      </c>
      <c r="J80" s="149" t="s">
        <v>184</v>
      </c>
      <c r="K80" s="147"/>
      <c r="L80" s="1"/>
      <c r="M80" s="1"/>
      <c r="N80" s="3"/>
    </row>
    <row x14ac:dyDescent="0.25" r="81" customHeight="1" ht="18.75" hidden="1">
      <c r="A81" s="65" t="s">
        <v>163</v>
      </c>
      <c r="B81" s="155" t="s">
        <v>217</v>
      </c>
      <c r="C81" s="160">
        <f>VLOOKUP(B81,CONFIGURAÇÃO!H:I,2,FALSE)</f>
      </c>
      <c r="D81" s="66">
        <v>1</v>
      </c>
      <c r="E81" s="147" t="s">
        <v>183</v>
      </c>
      <c r="F81" s="96">
        <f>VLOOKUP(E81,CONFIGURAÇÃO!E:F,2,0)</f>
      </c>
      <c r="G81" s="147" t="s">
        <v>73</v>
      </c>
      <c r="H81" s="96">
        <f>IF(G81="CORTESIA",0,D81*F81)</f>
      </c>
      <c r="I81" s="147" t="s">
        <v>50</v>
      </c>
      <c r="J81" s="149" t="s">
        <v>184</v>
      </c>
      <c r="K81" s="147"/>
      <c r="L81" s="1"/>
      <c r="M81" s="1"/>
      <c r="N81" s="3"/>
    </row>
    <row x14ac:dyDescent="0.25" r="82" customHeight="1" ht="18.75" hidden="1">
      <c r="A82" s="65" t="s">
        <v>164</v>
      </c>
      <c r="B82" s="155" t="s">
        <v>217</v>
      </c>
      <c r="C82" s="160">
        <f>VLOOKUP(B82,CONFIGURAÇÃO!H:I,2,FALSE)</f>
      </c>
      <c r="D82" s="66">
        <v>1</v>
      </c>
      <c r="E82" s="147" t="s">
        <v>183</v>
      </c>
      <c r="F82" s="96">
        <f>VLOOKUP(E82,CONFIGURAÇÃO!E:F,2,0)</f>
      </c>
      <c r="G82" s="147" t="s">
        <v>73</v>
      </c>
      <c r="H82" s="96">
        <f>IF(G82="CORTESIA",0,D82*F82)</f>
      </c>
      <c r="I82" s="147" t="s">
        <v>50</v>
      </c>
      <c r="J82" s="149" t="s">
        <v>184</v>
      </c>
      <c r="K82" s="147"/>
      <c r="L82" s="1"/>
      <c r="M82" s="1"/>
      <c r="N82" s="3"/>
    </row>
    <row x14ac:dyDescent="0.25" r="83" customHeight="1" ht="18.75" hidden="1">
      <c r="A83" s="67" t="s">
        <v>178</v>
      </c>
      <c r="B83" s="154" t="s">
        <v>218</v>
      </c>
      <c r="C83" s="160">
        <f>VLOOKUP(B83,CONFIGURAÇÃO!H:I,2,FALSE)</f>
      </c>
      <c r="D83" s="148">
        <v>2</v>
      </c>
      <c r="E83" s="149" t="s">
        <v>78</v>
      </c>
      <c r="F83" s="96">
        <f>VLOOKUP(E83,CONFIGURAÇÃO!E:F,2,0)</f>
      </c>
      <c r="G83" s="147" t="s">
        <v>73</v>
      </c>
      <c r="H83" s="96">
        <f>IF(G83="CORTESIA",0,D83*F83)</f>
      </c>
      <c r="I83" s="147" t="s">
        <v>50</v>
      </c>
      <c r="J83" s="149" t="s">
        <v>184</v>
      </c>
      <c r="K83" s="147"/>
      <c r="L83" s="1"/>
      <c r="M83" s="1"/>
      <c r="N83" s="3"/>
    </row>
    <row x14ac:dyDescent="0.25" r="84" customHeight="1" ht="18.75" hidden="1">
      <c r="A84" s="67" t="s">
        <v>188</v>
      </c>
      <c r="B84" s="154" t="s">
        <v>218</v>
      </c>
      <c r="C84" s="160">
        <f>VLOOKUP(B84,CONFIGURAÇÃO!H:I,2,FALSE)</f>
      </c>
      <c r="D84" s="148">
        <v>2</v>
      </c>
      <c r="E84" s="149" t="s">
        <v>78</v>
      </c>
      <c r="F84" s="96">
        <f>VLOOKUP(E84,CONFIGURAÇÃO!E:F,2,0)</f>
      </c>
      <c r="G84" s="147" t="s">
        <v>73</v>
      </c>
      <c r="H84" s="96">
        <f>IF(G84="CORTESIA",0,D84*F84)</f>
      </c>
      <c r="I84" s="147" t="s">
        <v>50</v>
      </c>
      <c r="J84" s="149" t="s">
        <v>184</v>
      </c>
      <c r="K84" s="147"/>
      <c r="L84" s="1"/>
      <c r="M84" s="1"/>
      <c r="N84" s="3"/>
    </row>
    <row x14ac:dyDescent="0.25" r="85" customHeight="1" ht="18.75" hidden="1">
      <c r="A85" s="67" t="s">
        <v>159</v>
      </c>
      <c r="B85" s="154" t="s">
        <v>218</v>
      </c>
      <c r="C85" s="160">
        <f>VLOOKUP(B85,CONFIGURAÇÃO!H:I,2,FALSE)</f>
      </c>
      <c r="D85" s="148">
        <v>1</v>
      </c>
      <c r="E85" s="149" t="s">
        <v>72</v>
      </c>
      <c r="F85" s="96">
        <f>VLOOKUP(E85,CONFIGURAÇÃO!E:F,2,0)</f>
      </c>
      <c r="G85" s="147" t="s">
        <v>73</v>
      </c>
      <c r="H85" s="96">
        <f>IF(G85="CORTESIA",0,D85*F85)</f>
      </c>
      <c r="I85" s="147" t="s">
        <v>50</v>
      </c>
      <c r="J85" s="149" t="s">
        <v>184</v>
      </c>
      <c r="K85" s="147"/>
      <c r="L85" s="1"/>
      <c r="M85" s="1"/>
      <c r="N85" s="3"/>
    </row>
    <row x14ac:dyDescent="0.25" r="86" customHeight="1" ht="18.75" hidden="1">
      <c r="A86" s="67" t="s">
        <v>159</v>
      </c>
      <c r="B86" s="154" t="s">
        <v>218</v>
      </c>
      <c r="C86" s="160">
        <f>VLOOKUP(B86,CONFIGURAÇÃO!H:I,2,FALSE)</f>
      </c>
      <c r="D86" s="148">
        <v>1</v>
      </c>
      <c r="E86" s="149" t="s">
        <v>78</v>
      </c>
      <c r="F86" s="96">
        <f>VLOOKUP(E86,CONFIGURAÇÃO!E:F,2,0)</f>
      </c>
      <c r="G86" s="147" t="s">
        <v>73</v>
      </c>
      <c r="H86" s="96">
        <f>IF(G86="CORTESIA",0,D86*F86)</f>
      </c>
      <c r="I86" s="147" t="s">
        <v>50</v>
      </c>
      <c r="J86" s="149" t="s">
        <v>184</v>
      </c>
      <c r="K86" s="147"/>
      <c r="L86" s="1"/>
      <c r="M86" s="1"/>
      <c r="N86" s="3"/>
    </row>
    <row x14ac:dyDescent="0.25" r="87" customHeight="1" ht="18.75" hidden="1">
      <c r="A87" s="65" t="s">
        <v>162</v>
      </c>
      <c r="B87" s="155" t="s">
        <v>218</v>
      </c>
      <c r="C87" s="160">
        <f>VLOOKUP(B87,CONFIGURAÇÃO!H:I,2,FALSE)</f>
      </c>
      <c r="D87" s="66">
        <v>2</v>
      </c>
      <c r="E87" s="147" t="s">
        <v>78</v>
      </c>
      <c r="F87" s="96">
        <f>VLOOKUP(E87,CONFIGURAÇÃO!E:F,2,0)</f>
      </c>
      <c r="G87" s="147" t="s">
        <v>73</v>
      </c>
      <c r="H87" s="96">
        <f>IF(G87="CORTESIA",0,D87*F87)</f>
      </c>
      <c r="I87" s="147" t="s">
        <v>50</v>
      </c>
      <c r="J87" s="149" t="s">
        <v>184</v>
      </c>
      <c r="K87" s="147"/>
      <c r="L87" s="1"/>
      <c r="M87" s="1"/>
      <c r="N87" s="3"/>
    </row>
    <row x14ac:dyDescent="0.25" r="88" customHeight="1" ht="18.75" hidden="1">
      <c r="A88" s="65" t="s">
        <v>163</v>
      </c>
      <c r="B88" s="155" t="s">
        <v>218</v>
      </c>
      <c r="C88" s="160">
        <f>VLOOKUP(B88,CONFIGURAÇÃO!H:I,2,FALSE)</f>
      </c>
      <c r="D88" s="66">
        <v>1</v>
      </c>
      <c r="E88" s="147" t="s">
        <v>183</v>
      </c>
      <c r="F88" s="96">
        <f>VLOOKUP(E88,CONFIGURAÇÃO!E:F,2,0)</f>
      </c>
      <c r="G88" s="147" t="s">
        <v>73</v>
      </c>
      <c r="H88" s="96">
        <f>IF(G88="CORTESIA",0,D88*F88)</f>
      </c>
      <c r="I88" s="147" t="s">
        <v>50</v>
      </c>
      <c r="J88" s="149" t="s">
        <v>184</v>
      </c>
      <c r="K88" s="147"/>
      <c r="L88" s="1"/>
      <c r="M88" s="1"/>
      <c r="N88" s="3"/>
    </row>
    <row x14ac:dyDescent="0.25" r="89" customHeight="1" ht="18.75" hidden="1">
      <c r="A89" s="65" t="s">
        <v>163</v>
      </c>
      <c r="B89" s="155" t="s">
        <v>218</v>
      </c>
      <c r="C89" s="160">
        <f>VLOOKUP(B89,CONFIGURAÇÃO!H:I,2,FALSE)</f>
      </c>
      <c r="D89" s="66">
        <v>1</v>
      </c>
      <c r="E89" s="147" t="s">
        <v>78</v>
      </c>
      <c r="F89" s="96">
        <f>VLOOKUP(E89,CONFIGURAÇÃO!E:F,2,0)</f>
      </c>
      <c r="G89" s="147" t="s">
        <v>73</v>
      </c>
      <c r="H89" s="96">
        <f>IF(G89="CORTESIA",0,D89*F89)</f>
      </c>
      <c r="I89" s="147" t="s">
        <v>50</v>
      </c>
      <c r="J89" s="149" t="s">
        <v>184</v>
      </c>
      <c r="K89" s="147"/>
      <c r="L89" s="1"/>
      <c r="M89" s="1"/>
      <c r="N89" s="3"/>
    </row>
    <row x14ac:dyDescent="0.25" r="90" customHeight="1" ht="18.75" hidden="1">
      <c r="A90" s="65" t="s">
        <v>164</v>
      </c>
      <c r="B90" s="155" t="s">
        <v>218</v>
      </c>
      <c r="C90" s="160">
        <f>VLOOKUP(B90,CONFIGURAÇÃO!H:I,2,FALSE)</f>
      </c>
      <c r="D90" s="66">
        <v>1</v>
      </c>
      <c r="E90" s="147" t="s">
        <v>78</v>
      </c>
      <c r="F90" s="96">
        <f>VLOOKUP(E90,CONFIGURAÇÃO!E:F,2,0)</f>
      </c>
      <c r="G90" s="147" t="s">
        <v>73</v>
      </c>
      <c r="H90" s="96">
        <f>IF(G90="CORTESIA",0,D90*F90)</f>
      </c>
      <c r="I90" s="147" t="s">
        <v>50</v>
      </c>
      <c r="J90" s="149" t="s">
        <v>184</v>
      </c>
      <c r="K90" s="147"/>
      <c r="L90" s="1"/>
      <c r="M90" s="1"/>
      <c r="N90" s="3"/>
    </row>
    <row x14ac:dyDescent="0.25" r="91" customHeight="1" ht="18.75" hidden="1">
      <c r="A91" s="67">
        <v>45740</v>
      </c>
      <c r="B91" s="154" t="s">
        <v>219</v>
      </c>
      <c r="C91" s="160">
        <f>VLOOKUP(B91,CONFIGURAÇÃO!H:I,2,FALSE)</f>
      </c>
      <c r="D91" s="148">
        <v>1</v>
      </c>
      <c r="E91" s="149" t="s">
        <v>171</v>
      </c>
      <c r="F91" s="96">
        <f>VLOOKUP(E91,CONFIGURAÇÃO!E:F,2,0)</f>
      </c>
      <c r="G91" s="147" t="s">
        <v>73</v>
      </c>
      <c r="H91" s="96">
        <f>IF(G91="CORTESIA",0,D91*F91)</f>
      </c>
      <c r="I91" s="147" t="s">
        <v>50</v>
      </c>
      <c r="J91" s="149" t="s">
        <v>184</v>
      </c>
      <c r="K91" s="147"/>
      <c r="L91" s="1"/>
      <c r="M91" s="1"/>
      <c r="N91" s="3"/>
    </row>
    <row x14ac:dyDescent="0.25" r="92" customHeight="1" ht="18.75" hidden="1">
      <c r="A92" s="65" t="s">
        <v>162</v>
      </c>
      <c r="B92" s="155" t="s">
        <v>219</v>
      </c>
      <c r="C92" s="160">
        <f>VLOOKUP(B92,CONFIGURAÇÃO!H:I,2,FALSE)</f>
      </c>
      <c r="D92" s="66">
        <v>1</v>
      </c>
      <c r="E92" s="147" t="s">
        <v>72</v>
      </c>
      <c r="F92" s="96">
        <f>VLOOKUP(E92,CONFIGURAÇÃO!E:F,2,0)</f>
      </c>
      <c r="G92" s="147" t="s">
        <v>73</v>
      </c>
      <c r="H92" s="96">
        <f>IF(G92="CORTESIA",0,D92*F92)</f>
      </c>
      <c r="I92" s="147" t="s">
        <v>50</v>
      </c>
      <c r="J92" s="149" t="s">
        <v>184</v>
      </c>
      <c r="K92" s="147"/>
      <c r="L92" s="1"/>
      <c r="M92" s="1"/>
      <c r="N92" s="3"/>
    </row>
    <row x14ac:dyDescent="0.25" r="93" customHeight="1" ht="18.75" hidden="1">
      <c r="A93" s="67">
        <v>45749</v>
      </c>
      <c r="B93" s="154" t="s">
        <v>220</v>
      </c>
      <c r="C93" s="160">
        <f>VLOOKUP(B93,CONFIGURAÇÃO!H:I,2,FALSE)</f>
      </c>
      <c r="D93" s="148">
        <v>1</v>
      </c>
      <c r="E93" s="149" t="s">
        <v>183</v>
      </c>
      <c r="F93" s="96">
        <f>VLOOKUP(E93,CONFIGURAÇÃO!E:F,2,0)</f>
      </c>
      <c r="G93" s="147" t="s">
        <v>13</v>
      </c>
      <c r="H93" s="96">
        <f>IF(G93="CORTESIA",0,D93*F93)</f>
      </c>
      <c r="I93" s="147" t="s">
        <v>19</v>
      </c>
      <c r="J93" s="149" t="s">
        <v>184</v>
      </c>
      <c r="K93" s="147"/>
      <c r="L93" s="1"/>
      <c r="M93" s="1"/>
      <c r="N93" s="3"/>
    </row>
    <row x14ac:dyDescent="0.25" r="94" customHeight="1" ht="18.75" hidden="1">
      <c r="A94" s="67" t="s">
        <v>198</v>
      </c>
      <c r="B94" s="154" t="s">
        <v>220</v>
      </c>
      <c r="C94" s="160">
        <f>VLOOKUP(B94,CONFIGURAÇÃO!H:I,2,FALSE)</f>
      </c>
      <c r="D94" s="148">
        <v>1</v>
      </c>
      <c r="E94" s="149" t="s">
        <v>183</v>
      </c>
      <c r="F94" s="96">
        <f>VLOOKUP(E94,CONFIGURAÇÃO!E:F,2,0)</f>
      </c>
      <c r="G94" s="147" t="s">
        <v>13</v>
      </c>
      <c r="H94" s="96">
        <f>IF(G94="CORTESIA",0,D94*F94)</f>
      </c>
      <c r="I94" s="147" t="s">
        <v>50</v>
      </c>
      <c r="J94" s="149" t="s">
        <v>184</v>
      </c>
      <c r="K94" s="147"/>
      <c r="L94" s="1"/>
      <c r="M94" s="1"/>
      <c r="N94" s="3"/>
    </row>
    <row x14ac:dyDescent="0.25" r="95" customHeight="1" ht="18.75" hidden="1">
      <c r="A95" s="67" t="s">
        <v>178</v>
      </c>
      <c r="B95" s="154" t="s">
        <v>220</v>
      </c>
      <c r="C95" s="160">
        <f>VLOOKUP(B95,CONFIGURAÇÃO!H:I,2,FALSE)</f>
      </c>
      <c r="D95" s="148">
        <v>1</v>
      </c>
      <c r="E95" s="149" t="s">
        <v>72</v>
      </c>
      <c r="F95" s="96">
        <f>VLOOKUP(E95,CONFIGURAÇÃO!E:F,2,0)</f>
      </c>
      <c r="G95" s="147" t="s">
        <v>13</v>
      </c>
      <c r="H95" s="96">
        <f>IF(G95="CORTESIA",0,D95*F95)</f>
      </c>
      <c r="I95" s="147" t="s">
        <v>50</v>
      </c>
      <c r="J95" s="149" t="s">
        <v>184</v>
      </c>
      <c r="K95" s="147"/>
      <c r="L95" s="1"/>
      <c r="M95" s="1"/>
      <c r="N95" s="3"/>
    </row>
    <row x14ac:dyDescent="0.25" r="96" customHeight="1" ht="18.75" hidden="1">
      <c r="A96" s="65" t="s">
        <v>172</v>
      </c>
      <c r="B96" s="155" t="s">
        <v>220</v>
      </c>
      <c r="C96" s="160">
        <f>VLOOKUP(B96,CONFIGURAÇÃO!H:I,2,FALSE)</f>
      </c>
      <c r="D96" s="66">
        <v>1</v>
      </c>
      <c r="E96" s="147" t="s">
        <v>183</v>
      </c>
      <c r="F96" s="96">
        <f>VLOOKUP(E96,CONFIGURAÇÃO!E:F,2,0)</f>
      </c>
      <c r="G96" s="147" t="s">
        <v>13</v>
      </c>
      <c r="H96" s="96">
        <f>IF(G96="CORTESIA",0,D96*F96)</f>
      </c>
      <c r="I96" s="147" t="s">
        <v>19</v>
      </c>
      <c r="J96" s="149" t="s">
        <v>184</v>
      </c>
      <c r="K96" s="147"/>
      <c r="L96" s="1"/>
      <c r="M96" s="1"/>
      <c r="N96" s="3"/>
    </row>
    <row x14ac:dyDescent="0.25" r="97" customHeight="1" ht="18.75" hidden="1">
      <c r="A97" s="65" t="s">
        <v>172</v>
      </c>
      <c r="B97" s="155" t="s">
        <v>220</v>
      </c>
      <c r="C97" s="160">
        <f>VLOOKUP(B97,CONFIGURAÇÃO!H:I,2,FALSE)</f>
      </c>
      <c r="D97" s="66">
        <v>1</v>
      </c>
      <c r="E97" s="147" t="s">
        <v>78</v>
      </c>
      <c r="F97" s="96">
        <f>VLOOKUP(E97,CONFIGURAÇÃO!E:F,2,0)</f>
      </c>
      <c r="G97" s="147" t="s">
        <v>13</v>
      </c>
      <c r="H97" s="96">
        <f>IF(G97="CORTESIA",0,D97*F97)</f>
      </c>
      <c r="I97" s="147" t="s">
        <v>19</v>
      </c>
      <c r="J97" s="149" t="s">
        <v>184</v>
      </c>
      <c r="K97" s="147"/>
      <c r="L97" s="1"/>
      <c r="M97" s="1"/>
      <c r="N97" s="3"/>
    </row>
    <row x14ac:dyDescent="0.25" r="98" customHeight="1" ht="18.75" hidden="1">
      <c r="A98" s="65" t="s">
        <v>159</v>
      </c>
      <c r="B98" s="155" t="s">
        <v>220</v>
      </c>
      <c r="C98" s="160">
        <f>VLOOKUP(B98,CONFIGURAÇÃO!H:I,2,FALSE)</f>
      </c>
      <c r="D98" s="66">
        <v>1</v>
      </c>
      <c r="E98" s="147" t="s">
        <v>72</v>
      </c>
      <c r="F98" s="96">
        <f>VLOOKUP(E98,CONFIGURAÇÃO!E:F,2,0)</f>
      </c>
      <c r="G98" s="147" t="s">
        <v>13</v>
      </c>
      <c r="H98" s="96">
        <f>IF(G98="CORTESIA",0,D98*F98)</f>
      </c>
      <c r="I98" s="147" t="s">
        <v>19</v>
      </c>
      <c r="J98" s="149" t="s">
        <v>184</v>
      </c>
      <c r="K98" s="147"/>
      <c r="L98" s="1"/>
      <c r="M98" s="1"/>
      <c r="N98" s="3"/>
    </row>
    <row x14ac:dyDescent="0.25" r="99" customHeight="1" ht="18.75" hidden="1">
      <c r="A99" s="67" t="s">
        <v>162</v>
      </c>
      <c r="B99" s="154" t="s">
        <v>220</v>
      </c>
      <c r="C99" s="160">
        <f>VLOOKUP(B99,CONFIGURAÇÃO!H:I,2,FALSE)</f>
      </c>
      <c r="D99" s="148">
        <v>1</v>
      </c>
      <c r="E99" s="149" t="s">
        <v>72</v>
      </c>
      <c r="F99" s="96">
        <f>VLOOKUP(E99,CONFIGURAÇÃO!E:F,2,0)</f>
      </c>
      <c r="G99" s="147" t="s">
        <v>13</v>
      </c>
      <c r="H99" s="96">
        <f>IF(G99="CORTESIA",0,D99*F99)</f>
      </c>
      <c r="I99" s="147" t="s">
        <v>19</v>
      </c>
      <c r="J99" s="149" t="s">
        <v>184</v>
      </c>
      <c r="K99" s="147"/>
      <c r="L99" s="1"/>
      <c r="M99" s="1"/>
      <c r="N99" s="3"/>
    </row>
    <row x14ac:dyDescent="0.25" r="100" customHeight="1" ht="18.75" hidden="1">
      <c r="A100" s="67" t="s">
        <v>163</v>
      </c>
      <c r="B100" s="154" t="s">
        <v>220</v>
      </c>
      <c r="C100" s="160">
        <f>VLOOKUP(B100,CONFIGURAÇÃO!H:I,2,FALSE)</f>
      </c>
      <c r="D100" s="148">
        <v>1</v>
      </c>
      <c r="E100" s="149" t="s">
        <v>183</v>
      </c>
      <c r="F100" s="96">
        <f>VLOOKUP(E100,CONFIGURAÇÃO!E:F,2,0)</f>
      </c>
      <c r="G100" s="147" t="s">
        <v>13</v>
      </c>
      <c r="H100" s="96">
        <f>IF(G100="CORTESIA",0,D100*F100)</f>
      </c>
      <c r="I100" s="147" t="s">
        <v>19</v>
      </c>
      <c r="J100" s="149" t="s">
        <v>184</v>
      </c>
      <c r="K100" s="147"/>
      <c r="L100" s="1"/>
      <c r="M100" s="1"/>
      <c r="N100" s="3"/>
    </row>
    <row x14ac:dyDescent="0.25" r="101" customHeight="1" ht="18.75" hidden="1">
      <c r="A101" s="67" t="s">
        <v>175</v>
      </c>
      <c r="B101" s="154" t="s">
        <v>221</v>
      </c>
      <c r="C101" s="160">
        <f>VLOOKUP(B101,CONFIGURAÇÃO!H:I,2,FALSE)</f>
      </c>
      <c r="D101" s="148">
        <v>1</v>
      </c>
      <c r="E101" s="149" t="s">
        <v>72</v>
      </c>
      <c r="F101" s="96">
        <f>VLOOKUP(E101,CONFIGURAÇÃO!E:F,2,0)</f>
      </c>
      <c r="G101" s="147" t="s">
        <v>13</v>
      </c>
      <c r="H101" s="96">
        <f>IF(G101="CORTESIA",0,D101*F101)</f>
      </c>
      <c r="I101" s="147" t="s">
        <v>50</v>
      </c>
      <c r="J101" s="149" t="s">
        <v>184</v>
      </c>
      <c r="K101" s="147"/>
      <c r="L101" s="1"/>
      <c r="M101" s="1"/>
      <c r="N101" s="3"/>
    </row>
    <row x14ac:dyDescent="0.25" r="102" customHeight="1" ht="18.75" hidden="1">
      <c r="A102" s="67">
        <v>45749</v>
      </c>
      <c r="B102" s="154" t="s">
        <v>222</v>
      </c>
      <c r="C102" s="160">
        <f>VLOOKUP(B102,CONFIGURAÇÃO!H:I,2,FALSE)</f>
      </c>
      <c r="D102" s="148">
        <v>1</v>
      </c>
      <c r="E102" s="149" t="s">
        <v>183</v>
      </c>
      <c r="F102" s="96">
        <f>VLOOKUP(E102,CONFIGURAÇÃO!E:F,2,0)</f>
      </c>
      <c r="G102" s="147" t="s">
        <v>13</v>
      </c>
      <c r="H102" s="96">
        <f>IF(G102="CORTESIA",0,D102*F102)</f>
      </c>
      <c r="I102" s="147" t="s">
        <v>19</v>
      </c>
      <c r="J102" s="149" t="s">
        <v>184</v>
      </c>
      <c r="K102" s="147" t="s">
        <v>223</v>
      </c>
      <c r="L102" s="1"/>
      <c r="M102" s="1"/>
      <c r="N102" s="3"/>
    </row>
    <row x14ac:dyDescent="0.25" r="103" customHeight="1" ht="18.75" hidden="1">
      <c r="A103" s="65" t="s">
        <v>159</v>
      </c>
      <c r="B103" s="155" t="s">
        <v>224</v>
      </c>
      <c r="C103" s="160">
        <f>VLOOKUP(B103,CONFIGURAÇÃO!H:I,2,FALSE)</f>
      </c>
      <c r="D103" s="66">
        <v>1</v>
      </c>
      <c r="E103" s="147" t="s">
        <v>72</v>
      </c>
      <c r="F103" s="96">
        <f>VLOOKUP(E103,CONFIGURAÇÃO!E:F,2,0)</f>
      </c>
      <c r="G103" s="147" t="s">
        <v>73</v>
      </c>
      <c r="H103" s="96">
        <f>IF(G103="CORTESIA",0,D103*F103)</f>
      </c>
      <c r="I103" s="147" t="s">
        <v>19</v>
      </c>
      <c r="J103" s="149" t="s">
        <v>184</v>
      </c>
      <c r="K103" s="147" t="s">
        <v>223</v>
      </c>
      <c r="L103" s="1"/>
      <c r="M103" s="1"/>
      <c r="N103" s="3"/>
    </row>
    <row x14ac:dyDescent="0.25" r="104" customHeight="1" ht="18.75" hidden="1">
      <c r="A104" s="67" t="s">
        <v>175</v>
      </c>
      <c r="B104" s="154" t="s">
        <v>225</v>
      </c>
      <c r="C104" s="160">
        <f>VLOOKUP(B104,CONFIGURAÇÃO!H:I,2,FALSE)</f>
      </c>
      <c r="D104" s="148">
        <v>1</v>
      </c>
      <c r="E104" s="149" t="s">
        <v>72</v>
      </c>
      <c r="F104" s="96">
        <f>VLOOKUP(E104,CONFIGURAÇÃO!E:F,2,0)</f>
      </c>
      <c r="G104" s="147" t="s">
        <v>73</v>
      </c>
      <c r="H104" s="96">
        <f>IF(G104="CORTESIA",0,D104*F104)</f>
      </c>
      <c r="I104" s="147" t="s">
        <v>50</v>
      </c>
      <c r="J104" s="149" t="s">
        <v>184</v>
      </c>
      <c r="K104" s="147"/>
      <c r="L104" s="1"/>
      <c r="M104" s="1"/>
      <c r="N104" s="3"/>
    </row>
    <row x14ac:dyDescent="0.25" r="105" customHeight="1" ht="18.75" hidden="1">
      <c r="A105" s="65" t="s">
        <v>160</v>
      </c>
      <c r="B105" s="161" t="s">
        <v>226</v>
      </c>
      <c r="C105" s="160">
        <f>VLOOKUP(B105,CONFIGURAÇÃO!H:I,2,FALSE)</f>
      </c>
      <c r="D105" s="66">
        <v>1</v>
      </c>
      <c r="E105" s="147" t="s">
        <v>78</v>
      </c>
      <c r="F105" s="96">
        <f>VLOOKUP(E105,CONFIGURAÇÃO!E:F,2,0)</f>
      </c>
      <c r="G105" s="147" t="s">
        <v>13</v>
      </c>
      <c r="H105" s="96">
        <f>IF(G105="CORTESIA",0,D105*F105)</f>
      </c>
      <c r="I105" s="147" t="s">
        <v>19</v>
      </c>
      <c r="J105" s="149" t="s">
        <v>184</v>
      </c>
      <c r="K105" s="147"/>
      <c r="L105" s="1"/>
      <c r="M105" s="1"/>
      <c r="N105" s="3"/>
    </row>
    <row x14ac:dyDescent="0.25" r="106" customHeight="1" ht="18.75" hidden="1">
      <c r="A106" s="67" t="s">
        <v>189</v>
      </c>
      <c r="B106" s="154" t="s">
        <v>226</v>
      </c>
      <c r="C106" s="160">
        <f>VLOOKUP(B106,CONFIGURAÇÃO!H:I,2,FALSE)</f>
      </c>
      <c r="D106" s="148">
        <v>1</v>
      </c>
      <c r="E106" s="149" t="s">
        <v>72</v>
      </c>
      <c r="F106" s="96">
        <f>VLOOKUP(E106,CONFIGURAÇÃO!E:F,2,0)</f>
      </c>
      <c r="G106" s="147" t="s">
        <v>13</v>
      </c>
      <c r="H106" s="96">
        <f>IF(G106="CORTESIA",0,D106*F106)</f>
      </c>
      <c r="I106" s="147" t="s">
        <v>19</v>
      </c>
      <c r="J106" s="149" t="s">
        <v>74</v>
      </c>
      <c r="K106" s="147"/>
      <c r="L106" s="1"/>
      <c r="M106" s="1"/>
      <c r="N106" s="3"/>
    </row>
    <row x14ac:dyDescent="0.25" r="107" customHeight="1" ht="18.75" hidden="1">
      <c r="A107" s="67" t="s">
        <v>189</v>
      </c>
      <c r="B107" s="154" t="s">
        <v>226</v>
      </c>
      <c r="C107" s="160">
        <f>VLOOKUP(B107,CONFIGURAÇÃO!H:I,2,FALSE)</f>
      </c>
      <c r="D107" s="148">
        <v>1</v>
      </c>
      <c r="E107" s="149" t="s">
        <v>78</v>
      </c>
      <c r="F107" s="96">
        <f>VLOOKUP(E107,CONFIGURAÇÃO!E:F,2,0)</f>
      </c>
      <c r="G107" s="147" t="s">
        <v>13</v>
      </c>
      <c r="H107" s="96">
        <f>IF(G107="CORTESIA",0,D107*F107)</f>
      </c>
      <c r="I107" s="147" t="s">
        <v>19</v>
      </c>
      <c r="J107" s="149" t="s">
        <v>74</v>
      </c>
      <c r="K107" s="147"/>
      <c r="L107" s="1"/>
      <c r="M107" s="1"/>
      <c r="N107" s="3"/>
    </row>
    <row x14ac:dyDescent="0.25" r="108" customHeight="1" ht="18.75" hidden="1">
      <c r="A108" s="67">
        <v>45750</v>
      </c>
      <c r="B108" s="154" t="s">
        <v>75</v>
      </c>
      <c r="C108" s="160">
        <f>VLOOKUP(B108,CONFIGURAÇÃO!H:I,2,FALSE)</f>
      </c>
      <c r="D108" s="148">
        <v>1</v>
      </c>
      <c r="E108" s="149" t="s">
        <v>78</v>
      </c>
      <c r="F108" s="96">
        <f>VLOOKUP(E108,CONFIGURAÇÃO!E:F,2,0)</f>
      </c>
      <c r="G108" s="147" t="s">
        <v>13</v>
      </c>
      <c r="H108" s="96">
        <f>IF(G108="CORTESIA",0,D108*F108)</f>
      </c>
      <c r="I108" s="147" t="s">
        <v>22</v>
      </c>
      <c r="J108" s="149" t="s">
        <v>184</v>
      </c>
      <c r="K108" s="147"/>
      <c r="L108" s="1"/>
      <c r="M108" s="1"/>
      <c r="N108" s="3"/>
    </row>
    <row x14ac:dyDescent="0.25" r="109" customHeight="1" ht="18.75" hidden="1">
      <c r="A109" s="65" t="s">
        <v>188</v>
      </c>
      <c r="B109" s="155" t="s">
        <v>75</v>
      </c>
      <c r="C109" s="160">
        <f>VLOOKUP(B109,CONFIGURAÇÃO!H:I,2,FALSE)</f>
      </c>
      <c r="D109" s="66">
        <v>2</v>
      </c>
      <c r="E109" s="147" t="s">
        <v>72</v>
      </c>
      <c r="F109" s="96">
        <f>VLOOKUP(E109,CONFIGURAÇÃO!E:F,2,0)</f>
      </c>
      <c r="G109" s="147" t="s">
        <v>13</v>
      </c>
      <c r="H109" s="96">
        <f>IF(G109="CORTESIA",0,D109*F109)</f>
      </c>
      <c r="I109" s="147" t="s">
        <v>22</v>
      </c>
      <c r="J109" s="149" t="s">
        <v>184</v>
      </c>
      <c r="K109" s="147"/>
      <c r="L109" s="1"/>
      <c r="M109" s="1"/>
      <c r="N109" s="3"/>
    </row>
    <row x14ac:dyDescent="0.25" r="110" customHeight="1" ht="18.75" hidden="1">
      <c r="A110" s="65" t="s">
        <v>159</v>
      </c>
      <c r="B110" s="155" t="s">
        <v>75</v>
      </c>
      <c r="C110" s="160">
        <f>VLOOKUP(B110,CONFIGURAÇÃO!H:I,2,FALSE)</f>
      </c>
      <c r="D110" s="66">
        <v>2</v>
      </c>
      <c r="E110" s="147" t="s">
        <v>72</v>
      </c>
      <c r="F110" s="96">
        <f>VLOOKUP(E110,CONFIGURAÇÃO!E:F,2,0)</f>
      </c>
      <c r="G110" s="147" t="s">
        <v>13</v>
      </c>
      <c r="H110" s="96">
        <f>IF(G110="CORTESIA",0,D110*F110)</f>
      </c>
      <c r="I110" s="147" t="s">
        <v>22</v>
      </c>
      <c r="J110" s="149" t="s">
        <v>184</v>
      </c>
      <c r="K110" s="147"/>
      <c r="L110" s="1"/>
      <c r="M110" s="1"/>
      <c r="N110" s="3"/>
    </row>
    <row x14ac:dyDescent="0.25" r="111" customHeight="1" ht="18.75" hidden="1">
      <c r="A111" s="65" t="s">
        <v>205</v>
      </c>
      <c r="B111" s="155" t="s">
        <v>75</v>
      </c>
      <c r="C111" s="160">
        <f>VLOOKUP(B111,CONFIGURAÇÃO!H:I,2,FALSE)</f>
      </c>
      <c r="D111" s="66">
        <v>1</v>
      </c>
      <c r="E111" s="147" t="s">
        <v>72</v>
      </c>
      <c r="F111" s="96">
        <f>VLOOKUP(E111,CONFIGURAÇÃO!E:F,2,0)</f>
      </c>
      <c r="G111" s="147" t="s">
        <v>13</v>
      </c>
      <c r="H111" s="96">
        <f>IF(G111="CORTESIA",0,D111*F111)</f>
      </c>
      <c r="I111" s="147" t="s">
        <v>22</v>
      </c>
      <c r="J111" s="149" t="s">
        <v>184</v>
      </c>
      <c r="K111" s="147"/>
      <c r="L111" s="1"/>
      <c r="M111" s="1"/>
      <c r="N111" s="3"/>
    </row>
    <row x14ac:dyDescent="0.25" r="112" customHeight="1" ht="18.75" hidden="1">
      <c r="A112" s="67" t="s">
        <v>161</v>
      </c>
      <c r="B112" s="154" t="s">
        <v>75</v>
      </c>
      <c r="C112" s="160">
        <f>VLOOKUP(B112,CONFIGURAÇÃO!H:I,2,FALSE)</f>
      </c>
      <c r="D112" s="148">
        <v>2</v>
      </c>
      <c r="E112" s="149" t="s">
        <v>183</v>
      </c>
      <c r="F112" s="96">
        <f>VLOOKUP(E112,CONFIGURAÇÃO!E:F,2,0)</f>
      </c>
      <c r="G112" s="147" t="s">
        <v>13</v>
      </c>
      <c r="H112" s="96">
        <f>IF(G112="CORTESIA",0,D112*F112)</f>
      </c>
      <c r="I112" s="147" t="s">
        <v>22</v>
      </c>
      <c r="J112" s="149" t="s">
        <v>184</v>
      </c>
      <c r="K112" s="147"/>
      <c r="L112" s="1"/>
      <c r="M112" s="1"/>
      <c r="N112" s="3"/>
    </row>
    <row x14ac:dyDescent="0.25" r="113" customHeight="1" ht="18.75" hidden="1">
      <c r="A113" s="67" t="s">
        <v>162</v>
      </c>
      <c r="B113" s="154" t="s">
        <v>75</v>
      </c>
      <c r="C113" s="160">
        <f>VLOOKUP(B113,CONFIGURAÇÃO!H:I,2,FALSE)</f>
      </c>
      <c r="D113" s="148">
        <v>2</v>
      </c>
      <c r="E113" s="149" t="s">
        <v>72</v>
      </c>
      <c r="F113" s="96">
        <f>VLOOKUP(E113,CONFIGURAÇÃO!E:F,2,0)</f>
      </c>
      <c r="G113" s="147" t="s">
        <v>13</v>
      </c>
      <c r="H113" s="96">
        <f>IF(G113="CORTESIA",0,D113*F113)</f>
      </c>
      <c r="I113" s="147" t="s">
        <v>22</v>
      </c>
      <c r="J113" s="149" t="s">
        <v>184</v>
      </c>
      <c r="K113" s="147"/>
      <c r="L113" s="1"/>
      <c r="M113" s="1"/>
      <c r="N113" s="3"/>
    </row>
    <row x14ac:dyDescent="0.25" r="114" customHeight="1" ht="18.75" hidden="1">
      <c r="A114" s="67" t="s">
        <v>163</v>
      </c>
      <c r="B114" s="154" t="s">
        <v>75</v>
      </c>
      <c r="C114" s="160">
        <f>VLOOKUP(B114,CONFIGURAÇÃO!H:I,2,FALSE)</f>
      </c>
      <c r="D114" s="148">
        <v>1</v>
      </c>
      <c r="E114" s="149" t="s">
        <v>183</v>
      </c>
      <c r="F114" s="96">
        <f>VLOOKUP(E114,CONFIGURAÇÃO!E:F,2,0)</f>
      </c>
      <c r="G114" s="147" t="s">
        <v>13</v>
      </c>
      <c r="H114" s="96">
        <f>IF(G114="CORTESIA",0,D114*F114)</f>
      </c>
      <c r="I114" s="147" t="s">
        <v>22</v>
      </c>
      <c r="J114" s="149" t="s">
        <v>184</v>
      </c>
      <c r="K114" s="147"/>
      <c r="L114" s="1"/>
      <c r="M114" s="1"/>
      <c r="N114" s="3"/>
    </row>
    <row x14ac:dyDescent="0.25" r="115" customHeight="1" ht="18.75" hidden="1">
      <c r="A115" s="67" t="s">
        <v>164</v>
      </c>
      <c r="B115" s="154" t="s">
        <v>75</v>
      </c>
      <c r="C115" s="160">
        <f>VLOOKUP(B115,CONFIGURAÇÃO!H:I,2,FALSE)</f>
      </c>
      <c r="D115" s="148">
        <v>2</v>
      </c>
      <c r="E115" s="149" t="s">
        <v>183</v>
      </c>
      <c r="F115" s="96">
        <f>VLOOKUP(E115,CONFIGURAÇÃO!E:F,2,0)</f>
      </c>
      <c r="G115" s="147" t="s">
        <v>13</v>
      </c>
      <c r="H115" s="96">
        <f>IF(G115="CORTESIA",0,D115*F115)</f>
      </c>
      <c r="I115" s="147" t="s">
        <v>22</v>
      </c>
      <c r="J115" s="149" t="s">
        <v>184</v>
      </c>
      <c r="K115" s="147"/>
      <c r="L115" s="1"/>
      <c r="M115" s="1"/>
      <c r="N115" s="3"/>
    </row>
    <row x14ac:dyDescent="0.25" r="116" customHeight="1" ht="18.75" hidden="1">
      <c r="A116" s="67">
        <v>45750</v>
      </c>
      <c r="B116" s="154" t="s">
        <v>227</v>
      </c>
      <c r="C116" s="160">
        <f>VLOOKUP(B116,CONFIGURAÇÃO!H:I,2,FALSE)</f>
      </c>
      <c r="D116" s="148">
        <v>1</v>
      </c>
      <c r="E116" s="149" t="s">
        <v>78</v>
      </c>
      <c r="F116" s="96">
        <f>VLOOKUP(E116,CONFIGURAÇÃO!E:F,2,0)</f>
      </c>
      <c r="G116" s="147" t="s">
        <v>13</v>
      </c>
      <c r="H116" s="96">
        <f>IF(G116="CORTESIA",0,D116*F116)</f>
      </c>
      <c r="I116" s="147" t="s">
        <v>19</v>
      </c>
      <c r="J116" s="149" t="s">
        <v>184</v>
      </c>
      <c r="K116" s="147"/>
      <c r="L116" s="1"/>
      <c r="M116" s="1"/>
      <c r="N116" s="3"/>
    </row>
    <row x14ac:dyDescent="0.25" r="117" customHeight="1" ht="18.75" hidden="1">
      <c r="A117" s="67" t="s">
        <v>188</v>
      </c>
      <c r="B117" s="154" t="s">
        <v>227</v>
      </c>
      <c r="C117" s="160">
        <f>VLOOKUP(B117,CONFIGURAÇÃO!H:I,2,FALSE)</f>
      </c>
      <c r="D117" s="148">
        <v>1</v>
      </c>
      <c r="E117" s="149" t="s">
        <v>72</v>
      </c>
      <c r="F117" s="96">
        <f>VLOOKUP(E117,CONFIGURAÇÃO!E:F,2,0)</f>
      </c>
      <c r="G117" s="147" t="s">
        <v>73</v>
      </c>
      <c r="H117" s="96">
        <f>IF(G117="CORTESIA",0,D117*F117)</f>
      </c>
      <c r="I117" s="147" t="s">
        <v>50</v>
      </c>
      <c r="J117" s="149" t="s">
        <v>184</v>
      </c>
      <c r="K117" s="147"/>
      <c r="L117" s="1"/>
      <c r="M117" s="1"/>
      <c r="N117" s="3"/>
    </row>
    <row x14ac:dyDescent="0.25" r="118" customHeight="1" ht="18.75" hidden="1">
      <c r="A118" s="67" t="s">
        <v>188</v>
      </c>
      <c r="B118" s="154" t="s">
        <v>227</v>
      </c>
      <c r="C118" s="160">
        <f>VLOOKUP(B118,CONFIGURAÇÃO!H:I,2,FALSE)</f>
      </c>
      <c r="D118" s="148">
        <v>1</v>
      </c>
      <c r="E118" s="149" t="s">
        <v>78</v>
      </c>
      <c r="F118" s="96">
        <f>VLOOKUP(E118,CONFIGURAÇÃO!E:F,2,0)</f>
      </c>
      <c r="G118" s="147" t="s">
        <v>73</v>
      </c>
      <c r="H118" s="96">
        <f>IF(G118="CORTESIA",0,D118*F118)</f>
      </c>
      <c r="I118" s="147" t="s">
        <v>50</v>
      </c>
      <c r="J118" s="149" t="s">
        <v>184</v>
      </c>
      <c r="K118" s="147"/>
      <c r="L118" s="1"/>
      <c r="M118" s="1"/>
      <c r="N118" s="3"/>
    </row>
    <row x14ac:dyDescent="0.25" r="119" customHeight="1" ht="18.75" hidden="1">
      <c r="A119" s="67" t="s">
        <v>172</v>
      </c>
      <c r="B119" s="154" t="s">
        <v>227</v>
      </c>
      <c r="C119" s="160">
        <f>VLOOKUP(B119,CONFIGURAÇÃO!H:I,2,FALSE)</f>
      </c>
      <c r="D119" s="148">
        <v>1</v>
      </c>
      <c r="E119" s="149" t="s">
        <v>183</v>
      </c>
      <c r="F119" s="96">
        <f>VLOOKUP(E119,CONFIGURAÇÃO!E:F,2,0)</f>
      </c>
      <c r="G119" s="147" t="s">
        <v>73</v>
      </c>
      <c r="H119" s="96">
        <f>IF(G119="CORTESIA",0,D119*F119)</f>
      </c>
      <c r="I119" s="147" t="s">
        <v>50</v>
      </c>
      <c r="J119" s="149" t="s">
        <v>184</v>
      </c>
      <c r="K119" s="147"/>
      <c r="L119" s="1"/>
      <c r="M119" s="1"/>
      <c r="N119" s="3"/>
    </row>
    <row x14ac:dyDescent="0.25" r="120" customHeight="1" ht="18.75" hidden="1">
      <c r="A120" s="67" t="s">
        <v>172</v>
      </c>
      <c r="B120" s="154" t="s">
        <v>227</v>
      </c>
      <c r="C120" s="160">
        <f>VLOOKUP(B120,CONFIGURAÇÃO!H:I,2,FALSE)</f>
      </c>
      <c r="D120" s="148">
        <v>1</v>
      </c>
      <c r="E120" s="149" t="s">
        <v>78</v>
      </c>
      <c r="F120" s="96">
        <f>VLOOKUP(E120,CONFIGURAÇÃO!E:F,2,0)</f>
      </c>
      <c r="G120" s="147" t="s">
        <v>73</v>
      </c>
      <c r="H120" s="96">
        <f>IF(G120="CORTESIA",0,D120*F120)</f>
      </c>
      <c r="I120" s="147" t="s">
        <v>50</v>
      </c>
      <c r="J120" s="149" t="s">
        <v>184</v>
      </c>
      <c r="K120" s="147"/>
      <c r="L120" s="1"/>
      <c r="M120" s="1"/>
      <c r="N120" s="3"/>
    </row>
    <row x14ac:dyDescent="0.25" r="121" customHeight="1" ht="18.75" hidden="1">
      <c r="A121" s="65" t="s">
        <v>160</v>
      </c>
      <c r="B121" s="155" t="s">
        <v>227</v>
      </c>
      <c r="C121" s="160">
        <f>VLOOKUP(B121,CONFIGURAÇÃO!H:I,2,FALSE)</f>
      </c>
      <c r="D121" s="66">
        <v>1</v>
      </c>
      <c r="E121" s="147" t="s">
        <v>183</v>
      </c>
      <c r="F121" s="96">
        <f>VLOOKUP(E121,CONFIGURAÇÃO!E:F,2,0)</f>
      </c>
      <c r="G121" s="147" t="s">
        <v>13</v>
      </c>
      <c r="H121" s="96">
        <f>IF(G121="CORTESIA",0,D121*F121)</f>
      </c>
      <c r="I121" s="147" t="s">
        <v>19</v>
      </c>
      <c r="J121" s="149" t="s">
        <v>184</v>
      </c>
      <c r="K121" s="147"/>
      <c r="L121" s="1"/>
      <c r="M121" s="1"/>
      <c r="N121" s="3"/>
    </row>
    <row x14ac:dyDescent="0.25" r="122" customHeight="1" ht="18.75" hidden="1">
      <c r="A122" s="65" t="s">
        <v>228</v>
      </c>
      <c r="B122" s="155" t="s">
        <v>227</v>
      </c>
      <c r="C122" s="160">
        <f>VLOOKUP(B122,CONFIGURAÇÃO!H:I,2,FALSE)</f>
      </c>
      <c r="D122" s="66">
        <v>1</v>
      </c>
      <c r="E122" s="147" t="s">
        <v>72</v>
      </c>
      <c r="F122" s="96">
        <f>VLOOKUP(E122,CONFIGURAÇÃO!E:F,2,0)</f>
      </c>
      <c r="G122" s="147" t="s">
        <v>13</v>
      </c>
      <c r="H122" s="96">
        <f>IF(G122="CORTESIA",0,D122*F122)</f>
      </c>
      <c r="I122" s="147" t="s">
        <v>19</v>
      </c>
      <c r="J122" s="149" t="s">
        <v>184</v>
      </c>
      <c r="K122" s="147"/>
      <c r="L122" s="1"/>
      <c r="M122" s="1"/>
      <c r="N122" s="3"/>
    </row>
    <row x14ac:dyDescent="0.25" r="123" customHeight="1" ht="18.75" hidden="1">
      <c r="A123" s="67" t="s">
        <v>163</v>
      </c>
      <c r="B123" s="154" t="s">
        <v>227</v>
      </c>
      <c r="C123" s="160">
        <f>VLOOKUP(B123,CONFIGURAÇÃO!H:I,2,FALSE)</f>
      </c>
      <c r="D123" s="148">
        <v>1</v>
      </c>
      <c r="E123" s="149" t="s">
        <v>183</v>
      </c>
      <c r="F123" s="96">
        <f>VLOOKUP(E123,CONFIGURAÇÃO!E:F,2,0)</f>
      </c>
      <c r="G123" s="147" t="s">
        <v>13</v>
      </c>
      <c r="H123" s="96">
        <f>IF(G123="CORTESIA",0,D123*F123)</f>
      </c>
      <c r="I123" s="147" t="s">
        <v>19</v>
      </c>
      <c r="J123" s="149" t="s">
        <v>184</v>
      </c>
      <c r="K123" s="147"/>
      <c r="L123" s="1"/>
      <c r="M123" s="1"/>
      <c r="N123" s="3"/>
    </row>
    <row x14ac:dyDescent="0.25" r="124" customHeight="1" ht="18.75" hidden="1">
      <c r="A124" s="67" t="s">
        <v>198</v>
      </c>
      <c r="B124" s="154" t="s">
        <v>229</v>
      </c>
      <c r="C124" s="160">
        <f>VLOOKUP(B124,CONFIGURAÇÃO!H:I,2,FALSE)</f>
      </c>
      <c r="D124" s="148">
        <v>1</v>
      </c>
      <c r="E124" s="149" t="s">
        <v>183</v>
      </c>
      <c r="F124" s="96">
        <f>VLOOKUP(E124,CONFIGURAÇÃO!E:F,2,0)</f>
      </c>
      <c r="G124" s="147" t="s">
        <v>73</v>
      </c>
      <c r="H124" s="96">
        <f>IF(G124="CORTESIA",0,D124*F124)</f>
      </c>
      <c r="I124" s="147" t="s">
        <v>50</v>
      </c>
      <c r="J124" s="149" t="s">
        <v>184</v>
      </c>
      <c r="K124" s="147"/>
      <c r="L124" s="1"/>
      <c r="M124" s="1"/>
      <c r="N124" s="3"/>
    </row>
    <row x14ac:dyDescent="0.25" r="125" customHeight="1" ht="18.75" hidden="1">
      <c r="A125" s="65" t="s">
        <v>159</v>
      </c>
      <c r="B125" s="155" t="s">
        <v>230</v>
      </c>
      <c r="C125" s="160">
        <f>VLOOKUP(B125,CONFIGURAÇÃO!H:I,2,FALSE)</f>
      </c>
      <c r="D125" s="66">
        <v>1</v>
      </c>
      <c r="E125" s="147" t="s">
        <v>72</v>
      </c>
      <c r="F125" s="96">
        <f>VLOOKUP(E125,CONFIGURAÇÃO!E:F,2,0)</f>
      </c>
      <c r="G125" s="147" t="s">
        <v>13</v>
      </c>
      <c r="H125" s="96">
        <f>IF(G125="CORTESIA",0,D125*F125)</f>
      </c>
      <c r="I125" s="147" t="s">
        <v>22</v>
      </c>
      <c r="J125" s="149" t="s">
        <v>184</v>
      </c>
      <c r="K125" s="147"/>
      <c r="L125" s="1"/>
      <c r="M125" s="1"/>
      <c r="N125" s="3"/>
    </row>
    <row x14ac:dyDescent="0.25" r="126" customHeight="1" ht="18.75" hidden="1">
      <c r="A126" s="65" t="s">
        <v>160</v>
      </c>
      <c r="B126" s="155" t="s">
        <v>230</v>
      </c>
      <c r="C126" s="160">
        <f>VLOOKUP(B126,CONFIGURAÇÃO!H:I,2,FALSE)</f>
      </c>
      <c r="D126" s="66">
        <v>1</v>
      </c>
      <c r="E126" s="147" t="s">
        <v>183</v>
      </c>
      <c r="F126" s="96">
        <f>VLOOKUP(E126,CONFIGURAÇÃO!E:F,2,0)</f>
      </c>
      <c r="G126" s="147" t="s">
        <v>13</v>
      </c>
      <c r="H126" s="96">
        <f>IF(G126="CORTESIA",0,D126*F126)</f>
      </c>
      <c r="I126" s="147" t="s">
        <v>22</v>
      </c>
      <c r="J126" s="149" t="s">
        <v>184</v>
      </c>
      <c r="K126" s="147"/>
      <c r="L126" s="1"/>
      <c r="M126" s="1"/>
      <c r="N126" s="3"/>
    </row>
    <row x14ac:dyDescent="0.25" r="127" customHeight="1" ht="18.75" hidden="1">
      <c r="A127" s="65" t="s">
        <v>160</v>
      </c>
      <c r="B127" s="155" t="s">
        <v>230</v>
      </c>
      <c r="C127" s="160">
        <f>VLOOKUP(B127,CONFIGURAÇÃO!H:I,2,FALSE)</f>
      </c>
      <c r="D127" s="66">
        <v>1</v>
      </c>
      <c r="E127" s="147" t="s">
        <v>78</v>
      </c>
      <c r="F127" s="96">
        <f>VLOOKUP(E127,CONFIGURAÇÃO!E:F,2,0)</f>
      </c>
      <c r="G127" s="147" t="s">
        <v>13</v>
      </c>
      <c r="H127" s="96">
        <f>IF(G127="CORTESIA",0,D127*F127)</f>
      </c>
      <c r="I127" s="147" t="s">
        <v>22</v>
      </c>
      <c r="J127" s="149" t="s">
        <v>184</v>
      </c>
      <c r="K127" s="147"/>
      <c r="L127" s="1"/>
      <c r="M127" s="1"/>
      <c r="N127" s="3"/>
    </row>
    <row x14ac:dyDescent="0.25" r="128" customHeight="1" ht="18.75" hidden="1">
      <c r="A128" s="65" t="s">
        <v>163</v>
      </c>
      <c r="B128" s="155" t="s">
        <v>231</v>
      </c>
      <c r="C128" s="160">
        <f>VLOOKUP(B128,CONFIGURAÇÃO!H:I,2,FALSE)</f>
      </c>
      <c r="D128" s="66">
        <v>1</v>
      </c>
      <c r="E128" s="147" t="s">
        <v>183</v>
      </c>
      <c r="F128" s="96">
        <v>12</v>
      </c>
      <c r="G128" s="147" t="s">
        <v>73</v>
      </c>
      <c r="H128" s="96">
        <v>12</v>
      </c>
      <c r="I128" s="147" t="s">
        <v>50</v>
      </c>
      <c r="J128" s="149" t="s">
        <v>184</v>
      </c>
      <c r="K128" s="147"/>
      <c r="L128" s="1"/>
      <c r="M128" s="1"/>
      <c r="N128" s="3"/>
    </row>
    <row x14ac:dyDescent="0.25" r="129" customHeight="1" ht="18.75" hidden="1">
      <c r="A129" s="67" t="s">
        <v>189</v>
      </c>
      <c r="B129" s="154" t="s">
        <v>232</v>
      </c>
      <c r="C129" s="160">
        <f>VLOOKUP(B129,CONFIGURAÇÃO!H:I,2,FALSE)</f>
      </c>
      <c r="D129" s="148">
        <v>1</v>
      </c>
      <c r="E129" s="149" t="s">
        <v>78</v>
      </c>
      <c r="F129" s="96">
        <f>VLOOKUP(E129,CONFIGURAÇÃO!E:F,2,0)</f>
      </c>
      <c r="G129" s="147" t="s">
        <v>13</v>
      </c>
      <c r="H129" s="96">
        <f>IF(G129="CORTESIA",0,D129*F129)</f>
      </c>
      <c r="I129" s="147" t="s">
        <v>19</v>
      </c>
      <c r="J129" s="149" t="s">
        <v>74</v>
      </c>
      <c r="K129" s="147"/>
      <c r="L129" s="1"/>
      <c r="M129" s="1"/>
      <c r="N129" s="3"/>
    </row>
    <row x14ac:dyDescent="0.25" r="130" customHeight="1" ht="18.75" hidden="1">
      <c r="A130" s="67">
        <v>45748</v>
      </c>
      <c r="B130" s="154" t="s">
        <v>233</v>
      </c>
      <c r="C130" s="160">
        <f>VLOOKUP(B130,CONFIGURAÇÃO!H:I,2,FALSE)</f>
      </c>
      <c r="D130" s="148">
        <v>1</v>
      </c>
      <c r="E130" s="149" t="s">
        <v>72</v>
      </c>
      <c r="F130" s="96">
        <f>VLOOKUP(E130,CONFIGURAÇÃO!E:F,2,0)</f>
      </c>
      <c r="G130" s="147" t="s">
        <v>73</v>
      </c>
      <c r="H130" s="96">
        <f>IF(G130="CORTESIA",0,D130*F130)</f>
      </c>
      <c r="I130" s="147" t="s">
        <v>19</v>
      </c>
      <c r="J130" s="149" t="s">
        <v>184</v>
      </c>
      <c r="K130" s="147" t="s">
        <v>234</v>
      </c>
      <c r="L130" s="1"/>
      <c r="M130" s="1"/>
      <c r="N130" s="3"/>
    </row>
    <row x14ac:dyDescent="0.25" r="131" customHeight="1" ht="18.75" hidden="1">
      <c r="A131" s="67" t="s">
        <v>198</v>
      </c>
      <c r="B131" s="154" t="s">
        <v>233</v>
      </c>
      <c r="C131" s="160">
        <f>VLOOKUP(B131,CONFIGURAÇÃO!H:I,2,FALSE)</f>
      </c>
      <c r="D131" s="148">
        <v>4</v>
      </c>
      <c r="E131" s="149" t="s">
        <v>183</v>
      </c>
      <c r="F131" s="96">
        <f>VLOOKUP(E131,CONFIGURAÇÃO!E:F,2,0)</f>
      </c>
      <c r="G131" s="147" t="s">
        <v>73</v>
      </c>
      <c r="H131" s="96">
        <f>IF(G131="CORTESIA",0,D131*F131)</f>
      </c>
      <c r="I131" s="147" t="s">
        <v>50</v>
      </c>
      <c r="J131" s="149" t="s">
        <v>184</v>
      </c>
      <c r="K131" s="147"/>
      <c r="L131" s="1"/>
      <c r="M131" s="1"/>
      <c r="N131" s="3"/>
    </row>
    <row x14ac:dyDescent="0.25" r="132" customHeight="1" ht="18.75" hidden="1">
      <c r="A132" s="65" t="s">
        <v>177</v>
      </c>
      <c r="B132" s="155" t="s">
        <v>233</v>
      </c>
      <c r="C132" s="160">
        <f>VLOOKUP(B132,CONFIGURAÇÃO!H:I,2,FALSE)</f>
      </c>
      <c r="D132" s="66">
        <v>1</v>
      </c>
      <c r="E132" s="147" t="s">
        <v>78</v>
      </c>
      <c r="F132" s="96">
        <f>VLOOKUP(E132,CONFIGURAÇÃO!E:F,2,0)</f>
      </c>
      <c r="G132" s="147" t="s">
        <v>73</v>
      </c>
      <c r="H132" s="96">
        <f>IF(G132="CORTESIA",0,D132*F132)</f>
      </c>
      <c r="I132" s="147" t="s">
        <v>19</v>
      </c>
      <c r="J132" s="149" t="s">
        <v>184</v>
      </c>
      <c r="K132" s="147" t="s">
        <v>234</v>
      </c>
      <c r="L132" s="1"/>
      <c r="M132" s="1"/>
      <c r="N132" s="3"/>
    </row>
    <row x14ac:dyDescent="0.25" r="133" customHeight="1" ht="18.75" hidden="1">
      <c r="A133" s="65" t="s">
        <v>188</v>
      </c>
      <c r="B133" s="155" t="s">
        <v>233</v>
      </c>
      <c r="C133" s="160">
        <f>VLOOKUP(B133,CONFIGURAÇÃO!H:I,2,FALSE)</f>
      </c>
      <c r="D133" s="66">
        <v>2</v>
      </c>
      <c r="E133" s="147" t="s">
        <v>171</v>
      </c>
      <c r="F133" s="96">
        <f>VLOOKUP(E133,CONFIGURAÇÃO!E:F,2,0)</f>
      </c>
      <c r="G133" s="147" t="s">
        <v>73</v>
      </c>
      <c r="H133" s="96">
        <f>IF(G133="CORTESIA",0,D133*F133)</f>
      </c>
      <c r="I133" s="147" t="s">
        <v>19</v>
      </c>
      <c r="J133" s="149" t="s">
        <v>184</v>
      </c>
      <c r="K133" s="147" t="s">
        <v>234</v>
      </c>
      <c r="L133" s="1"/>
      <c r="M133" s="1"/>
      <c r="N133" s="3"/>
    </row>
    <row x14ac:dyDescent="0.25" r="134" customHeight="1" ht="18.75" hidden="1">
      <c r="A134" s="65" t="s">
        <v>188</v>
      </c>
      <c r="B134" s="155" t="s">
        <v>233</v>
      </c>
      <c r="C134" s="160">
        <f>VLOOKUP(B134,CONFIGURAÇÃO!H:I,2,FALSE)</f>
      </c>
      <c r="D134" s="66">
        <v>1</v>
      </c>
      <c r="E134" s="147" t="s">
        <v>78</v>
      </c>
      <c r="F134" s="96">
        <f>VLOOKUP(E134,CONFIGURAÇÃO!E:F,2,0)</f>
      </c>
      <c r="G134" s="147" t="s">
        <v>73</v>
      </c>
      <c r="H134" s="96">
        <f>IF(G134="CORTESIA",0,D134*F134)</f>
      </c>
      <c r="I134" s="147" t="s">
        <v>19</v>
      </c>
      <c r="J134" s="149" t="s">
        <v>184</v>
      </c>
      <c r="K134" s="147" t="s">
        <v>234</v>
      </c>
      <c r="L134" s="1"/>
      <c r="M134" s="1"/>
      <c r="N134" s="3"/>
    </row>
    <row x14ac:dyDescent="0.25" r="135" customHeight="1" ht="18.75" hidden="1">
      <c r="A135" s="65" t="s">
        <v>159</v>
      </c>
      <c r="B135" s="155" t="s">
        <v>233</v>
      </c>
      <c r="C135" s="160">
        <f>VLOOKUP(B135,CONFIGURAÇÃO!H:I,2,FALSE)</f>
      </c>
      <c r="D135" s="66">
        <v>2</v>
      </c>
      <c r="E135" s="147" t="s">
        <v>78</v>
      </c>
      <c r="F135" s="96">
        <f>VLOOKUP(E135,CONFIGURAÇÃO!E:F,2,0)</f>
      </c>
      <c r="G135" s="147" t="s">
        <v>73</v>
      </c>
      <c r="H135" s="96">
        <f>IF(G135="CORTESIA",0,D135*F135)</f>
      </c>
      <c r="I135" s="147" t="s">
        <v>19</v>
      </c>
      <c r="J135" s="149" t="s">
        <v>184</v>
      </c>
      <c r="K135" s="147" t="s">
        <v>234</v>
      </c>
      <c r="L135" s="1"/>
      <c r="M135" s="1"/>
      <c r="N135" s="3"/>
    </row>
    <row x14ac:dyDescent="0.25" r="136" customHeight="1" ht="18.75" hidden="1">
      <c r="A136" s="65" t="s">
        <v>160</v>
      </c>
      <c r="B136" s="155" t="s">
        <v>233</v>
      </c>
      <c r="C136" s="160">
        <f>VLOOKUP(B136,CONFIGURAÇÃO!H:I,2,FALSE)</f>
      </c>
      <c r="D136" s="66">
        <v>2</v>
      </c>
      <c r="E136" s="147" t="s">
        <v>183</v>
      </c>
      <c r="F136" s="96">
        <f>VLOOKUP(E136,CONFIGURAÇÃO!E:F,2,0)</f>
      </c>
      <c r="G136" s="147" t="s">
        <v>73</v>
      </c>
      <c r="H136" s="96">
        <f>IF(G136="CORTESIA",0,D136*F136)</f>
      </c>
      <c r="I136" s="147" t="s">
        <v>19</v>
      </c>
      <c r="J136" s="149" t="s">
        <v>184</v>
      </c>
      <c r="K136" s="147" t="s">
        <v>234</v>
      </c>
      <c r="L136" s="1"/>
      <c r="M136" s="1"/>
      <c r="N136" s="3"/>
    </row>
    <row x14ac:dyDescent="0.25" r="137" customHeight="1" ht="18.75" hidden="1">
      <c r="A137" s="67" t="s">
        <v>205</v>
      </c>
      <c r="B137" s="154" t="s">
        <v>233</v>
      </c>
      <c r="C137" s="160">
        <f>VLOOKUP(B137,CONFIGURAÇÃO!H:I,2,FALSE)</f>
      </c>
      <c r="D137" s="148">
        <v>1</v>
      </c>
      <c r="E137" s="149" t="s">
        <v>72</v>
      </c>
      <c r="F137" s="96">
        <f>VLOOKUP(E137,CONFIGURAÇÃO!E:F,2,0)</f>
      </c>
      <c r="G137" s="147" t="s">
        <v>73</v>
      </c>
      <c r="H137" s="96">
        <f>IF(G137="CORTESIA",0,D137*F137)</f>
      </c>
      <c r="I137" s="147" t="s">
        <v>19</v>
      </c>
      <c r="J137" s="149" t="s">
        <v>184</v>
      </c>
      <c r="K137" s="147" t="s">
        <v>234</v>
      </c>
      <c r="L137" s="1"/>
      <c r="M137" s="1"/>
      <c r="N137" s="3"/>
    </row>
    <row x14ac:dyDescent="0.25" r="138" customHeight="1" ht="18.75" hidden="1">
      <c r="A138" s="67" t="s">
        <v>205</v>
      </c>
      <c r="B138" s="154" t="s">
        <v>233</v>
      </c>
      <c r="C138" s="160">
        <f>VLOOKUP(B138,CONFIGURAÇÃO!H:I,2,FALSE)</f>
      </c>
      <c r="D138" s="148">
        <v>1</v>
      </c>
      <c r="E138" s="149" t="s">
        <v>78</v>
      </c>
      <c r="F138" s="96">
        <f>VLOOKUP(E138,CONFIGURAÇÃO!E:F,2,0)</f>
      </c>
      <c r="G138" s="147" t="s">
        <v>73</v>
      </c>
      <c r="H138" s="96">
        <f>IF(G138="CORTESIA",0,D138*F138)</f>
      </c>
      <c r="I138" s="147" t="s">
        <v>19</v>
      </c>
      <c r="J138" s="149" t="s">
        <v>184</v>
      </c>
      <c r="K138" s="147" t="s">
        <v>234</v>
      </c>
      <c r="L138" s="1"/>
      <c r="M138" s="1"/>
      <c r="N138" s="3"/>
    </row>
    <row x14ac:dyDescent="0.25" r="139" customHeight="1" ht="18.75" hidden="1">
      <c r="A139" s="67" t="s">
        <v>162</v>
      </c>
      <c r="B139" s="154" t="s">
        <v>233</v>
      </c>
      <c r="C139" s="160">
        <f>VLOOKUP(B139,CONFIGURAÇÃO!H:I,2,FALSE)</f>
      </c>
      <c r="D139" s="148">
        <v>1</v>
      </c>
      <c r="E139" s="149" t="s">
        <v>72</v>
      </c>
      <c r="F139" s="96">
        <f>VLOOKUP(E139,CONFIGURAÇÃO!E:F,2,0)</f>
      </c>
      <c r="G139" s="147" t="s">
        <v>73</v>
      </c>
      <c r="H139" s="96">
        <f>IF(G139="CORTESIA",0,D139*F139)</f>
      </c>
      <c r="I139" s="147" t="s">
        <v>19</v>
      </c>
      <c r="J139" s="149" t="s">
        <v>184</v>
      </c>
      <c r="K139" s="147" t="s">
        <v>234</v>
      </c>
      <c r="L139" s="1"/>
      <c r="M139" s="1"/>
      <c r="N139" s="3"/>
    </row>
    <row x14ac:dyDescent="0.25" r="140" customHeight="1" ht="18.75" hidden="1">
      <c r="A140" s="67" t="s">
        <v>162</v>
      </c>
      <c r="B140" s="154" t="s">
        <v>233</v>
      </c>
      <c r="C140" s="160">
        <f>VLOOKUP(B140,CONFIGURAÇÃO!H:I,2,FALSE)</f>
      </c>
      <c r="D140" s="148">
        <v>1</v>
      </c>
      <c r="E140" s="149" t="s">
        <v>183</v>
      </c>
      <c r="F140" s="96">
        <f>VLOOKUP(E140,CONFIGURAÇÃO!E:F,2,0)</f>
      </c>
      <c r="G140" s="147" t="s">
        <v>73</v>
      </c>
      <c r="H140" s="96">
        <f>IF(G140="CORTESIA",0,D140*F140)</f>
      </c>
      <c r="I140" s="147" t="s">
        <v>19</v>
      </c>
      <c r="J140" s="149" t="s">
        <v>184</v>
      </c>
      <c r="K140" s="147" t="s">
        <v>234</v>
      </c>
      <c r="L140" s="1"/>
      <c r="M140" s="1"/>
      <c r="N140" s="3"/>
    </row>
    <row x14ac:dyDescent="0.25" r="141" customHeight="1" ht="18.75" hidden="1">
      <c r="A141" s="65">
        <v>45733</v>
      </c>
      <c r="B141" s="155" t="s">
        <v>91</v>
      </c>
      <c r="C141" s="160">
        <f>VLOOKUP(B141,CONFIGURAÇÃO!H:I,2,FALSE)</f>
      </c>
      <c r="D141" s="66">
        <v>2</v>
      </c>
      <c r="E141" s="147" t="s">
        <v>78</v>
      </c>
      <c r="F141" s="96">
        <f>VLOOKUP(E141,CONFIGURAÇÃO!E:F,2,0)</f>
      </c>
      <c r="G141" s="147" t="s">
        <v>13</v>
      </c>
      <c r="H141" s="96">
        <f>IF(G141="CORTESIA",0,D141*F141)</f>
      </c>
      <c r="I141" s="147" t="s">
        <v>22</v>
      </c>
      <c r="J141" s="149" t="s">
        <v>184</v>
      </c>
      <c r="K141" s="147"/>
      <c r="L141" s="1"/>
      <c r="M141" s="1"/>
      <c r="N141" s="3"/>
    </row>
    <row x14ac:dyDescent="0.25" r="142" customHeight="1" ht="18.75" hidden="1">
      <c r="A142" s="65">
        <v>45733</v>
      </c>
      <c r="B142" s="155" t="s">
        <v>91</v>
      </c>
      <c r="C142" s="160">
        <f>VLOOKUP(B142,CONFIGURAÇÃO!H:I,2,FALSE)</f>
      </c>
      <c r="D142" s="66">
        <v>1</v>
      </c>
      <c r="E142" s="147" t="s">
        <v>183</v>
      </c>
      <c r="F142" s="96">
        <f>VLOOKUP(E142,CONFIGURAÇÃO!E:F,2,0)</f>
      </c>
      <c r="G142" s="147" t="s">
        <v>13</v>
      </c>
      <c r="H142" s="96">
        <f>IF(G142="CORTESIA",0,D142*F142)</f>
      </c>
      <c r="I142" s="147" t="s">
        <v>22</v>
      </c>
      <c r="J142" s="149" t="s">
        <v>184</v>
      </c>
      <c r="K142" s="147"/>
      <c r="L142" s="1"/>
      <c r="M142" s="1"/>
      <c r="N142" s="3"/>
    </row>
    <row x14ac:dyDescent="0.25" r="143" customHeight="1" ht="18.75" hidden="1">
      <c r="A143" s="65" t="s">
        <v>188</v>
      </c>
      <c r="B143" s="155" t="s">
        <v>91</v>
      </c>
      <c r="C143" s="160">
        <f>VLOOKUP(B143,CONFIGURAÇÃO!H:I,2,FALSE)</f>
      </c>
      <c r="D143" s="66">
        <v>5</v>
      </c>
      <c r="E143" s="147" t="s">
        <v>72</v>
      </c>
      <c r="F143" s="96">
        <f>VLOOKUP(E143,CONFIGURAÇÃO!E:F,2,0)</f>
      </c>
      <c r="G143" s="147" t="s">
        <v>13</v>
      </c>
      <c r="H143" s="96">
        <f>IF(G143="CORTESIA",0,D143*F143)</f>
      </c>
      <c r="I143" s="147" t="s">
        <v>22</v>
      </c>
      <c r="J143" s="149" t="s">
        <v>184</v>
      </c>
      <c r="K143" s="147"/>
      <c r="L143" s="1"/>
      <c r="M143" s="1"/>
      <c r="N143" s="3"/>
    </row>
    <row x14ac:dyDescent="0.25" r="144" customHeight="1" ht="18.75" hidden="1">
      <c r="A144" s="65" t="s">
        <v>172</v>
      </c>
      <c r="B144" s="155" t="s">
        <v>91</v>
      </c>
      <c r="C144" s="160">
        <f>VLOOKUP(B144,CONFIGURAÇÃO!H:I,2,FALSE)</f>
      </c>
      <c r="D144" s="66">
        <v>1</v>
      </c>
      <c r="E144" s="147" t="s">
        <v>183</v>
      </c>
      <c r="F144" s="96">
        <f>VLOOKUP(E144,CONFIGURAÇÃO!E:F,2,0)</f>
      </c>
      <c r="G144" s="147" t="s">
        <v>13</v>
      </c>
      <c r="H144" s="96">
        <f>IF(G144="CORTESIA",0,D144*F144)</f>
      </c>
      <c r="I144" s="147" t="s">
        <v>22</v>
      </c>
      <c r="J144" s="149" t="s">
        <v>184</v>
      </c>
      <c r="K144" s="147"/>
      <c r="L144" s="1"/>
      <c r="M144" s="1"/>
      <c r="N144" s="3"/>
    </row>
    <row x14ac:dyDescent="0.25" r="145" customHeight="1" ht="18.75" hidden="1">
      <c r="A145" s="65" t="s">
        <v>160</v>
      </c>
      <c r="B145" s="155" t="s">
        <v>91</v>
      </c>
      <c r="C145" s="160">
        <f>VLOOKUP(B145,CONFIGURAÇÃO!H:I,2,FALSE)</f>
      </c>
      <c r="D145" s="66">
        <v>4</v>
      </c>
      <c r="E145" s="147" t="s">
        <v>183</v>
      </c>
      <c r="F145" s="96">
        <f>VLOOKUP(E145,CONFIGURAÇÃO!E:F,2,0)</f>
      </c>
      <c r="G145" s="147" t="s">
        <v>13</v>
      </c>
      <c r="H145" s="96">
        <f>IF(G145="CORTESIA",0,D145*F145)</f>
      </c>
      <c r="I145" s="147" t="s">
        <v>22</v>
      </c>
      <c r="J145" s="149" t="s">
        <v>184</v>
      </c>
      <c r="K145" s="147"/>
      <c r="L145" s="1"/>
      <c r="M145" s="1"/>
      <c r="N145" s="3"/>
    </row>
    <row x14ac:dyDescent="0.25" r="146" customHeight="1" ht="18.75" hidden="1">
      <c r="A146" s="65" t="s">
        <v>205</v>
      </c>
      <c r="B146" s="155" t="s">
        <v>91</v>
      </c>
      <c r="C146" s="160">
        <f>VLOOKUP(B146,CONFIGURAÇÃO!H:I,2,FALSE)</f>
      </c>
      <c r="D146" s="66">
        <v>2</v>
      </c>
      <c r="E146" s="147" t="s">
        <v>72</v>
      </c>
      <c r="F146" s="96">
        <f>VLOOKUP(E146,CONFIGURAÇÃO!E:F,2,0)</f>
      </c>
      <c r="G146" s="147" t="s">
        <v>13</v>
      </c>
      <c r="H146" s="96">
        <f>IF(G146="CORTESIA",0,D146*F146)</f>
      </c>
      <c r="I146" s="147" t="s">
        <v>22</v>
      </c>
      <c r="J146" s="149" t="s">
        <v>184</v>
      </c>
      <c r="K146" s="147"/>
      <c r="L146" s="1"/>
      <c r="M146" s="1"/>
      <c r="N146" s="3"/>
    </row>
    <row x14ac:dyDescent="0.25" r="147" customHeight="1" ht="18.75" hidden="1">
      <c r="A147" s="67" t="s">
        <v>162</v>
      </c>
      <c r="B147" s="154" t="s">
        <v>91</v>
      </c>
      <c r="C147" s="160">
        <f>VLOOKUP(B147,CONFIGURAÇÃO!H:I,2,FALSE)</f>
      </c>
      <c r="D147" s="148">
        <v>1</v>
      </c>
      <c r="E147" s="149" t="s">
        <v>72</v>
      </c>
      <c r="F147" s="96">
        <f>VLOOKUP(E147,CONFIGURAÇÃO!E:F,2,0)</f>
      </c>
      <c r="G147" s="147" t="s">
        <v>13</v>
      </c>
      <c r="H147" s="96">
        <f>IF(G147="CORTESIA",0,D147*F147)</f>
      </c>
      <c r="I147" s="147" t="s">
        <v>22</v>
      </c>
      <c r="J147" s="149" t="s">
        <v>184</v>
      </c>
      <c r="K147" s="147"/>
      <c r="L147" s="1"/>
      <c r="M147" s="1"/>
      <c r="N147" s="3"/>
    </row>
    <row x14ac:dyDescent="0.25" r="148" customHeight="1" ht="18.75" hidden="1">
      <c r="A148" s="67" t="s">
        <v>163</v>
      </c>
      <c r="B148" s="154" t="s">
        <v>91</v>
      </c>
      <c r="C148" s="160">
        <f>VLOOKUP(B148,CONFIGURAÇÃO!H:I,2,FALSE)</f>
      </c>
      <c r="D148" s="148">
        <v>1</v>
      </c>
      <c r="E148" s="149" t="s">
        <v>78</v>
      </c>
      <c r="F148" s="96">
        <f>VLOOKUP(E148,CONFIGURAÇÃO!E:F,2,0)</f>
      </c>
      <c r="G148" s="147" t="s">
        <v>13</v>
      </c>
      <c r="H148" s="96">
        <f>IF(G148="CORTESIA",0,D148*F148)</f>
      </c>
      <c r="I148" s="147" t="s">
        <v>22</v>
      </c>
      <c r="J148" s="149" t="s">
        <v>184</v>
      </c>
      <c r="K148" s="147"/>
      <c r="L148" s="1"/>
      <c r="M148" s="1"/>
      <c r="N148" s="3"/>
    </row>
    <row x14ac:dyDescent="0.25" r="149" customHeight="1" ht="18.75" hidden="1">
      <c r="A149" s="67" t="s">
        <v>163</v>
      </c>
      <c r="B149" s="154" t="s">
        <v>91</v>
      </c>
      <c r="C149" s="160">
        <f>VLOOKUP(B149,CONFIGURAÇÃO!H:I,2,FALSE)</f>
      </c>
      <c r="D149" s="148">
        <v>1</v>
      </c>
      <c r="E149" s="149" t="s">
        <v>183</v>
      </c>
      <c r="F149" s="96">
        <f>VLOOKUP(E149,CONFIGURAÇÃO!E:F,2,0)</f>
      </c>
      <c r="G149" s="147" t="s">
        <v>13</v>
      </c>
      <c r="H149" s="96">
        <f>IF(G149="CORTESIA",0,D149*F149)</f>
      </c>
      <c r="I149" s="147" t="s">
        <v>22</v>
      </c>
      <c r="J149" s="149" t="s">
        <v>184</v>
      </c>
      <c r="K149" s="147"/>
      <c r="L149" s="1"/>
      <c r="M149" s="1"/>
      <c r="N149" s="3"/>
    </row>
    <row x14ac:dyDescent="0.25" r="150" customHeight="1" ht="18.75" hidden="1">
      <c r="A150" s="67" t="s">
        <v>160</v>
      </c>
      <c r="B150" s="154" t="s">
        <v>64</v>
      </c>
      <c r="C150" s="160">
        <f>VLOOKUP(B150,CONFIGURAÇÃO!H:I,2,FALSE)</f>
      </c>
      <c r="D150" s="148">
        <v>1</v>
      </c>
      <c r="E150" s="149" t="s">
        <v>183</v>
      </c>
      <c r="F150" s="96">
        <f>VLOOKUP(E150,CONFIGURAÇÃO!E:F,2,0)</f>
      </c>
      <c r="G150" s="147" t="s">
        <v>73</v>
      </c>
      <c r="H150" s="96">
        <f>IF(G150="CORTESIA",0,D150*F150)</f>
      </c>
      <c r="I150" s="147" t="s">
        <v>50</v>
      </c>
      <c r="J150" s="149" t="s">
        <v>184</v>
      </c>
      <c r="K150" s="147"/>
      <c r="L150" s="1"/>
      <c r="M150" s="1"/>
      <c r="N150" s="3"/>
    </row>
    <row x14ac:dyDescent="0.25" r="151" customHeight="1" ht="18.75" hidden="1">
      <c r="A151" s="67" t="s">
        <v>160</v>
      </c>
      <c r="B151" s="154" t="s">
        <v>64</v>
      </c>
      <c r="C151" s="160">
        <f>VLOOKUP(B151,CONFIGURAÇÃO!H:I,2,FALSE)</f>
      </c>
      <c r="D151" s="148">
        <v>1</v>
      </c>
      <c r="E151" s="149" t="s">
        <v>183</v>
      </c>
      <c r="F151" s="96">
        <f>VLOOKUP(E151,CONFIGURAÇÃO!E:F,2,0)</f>
      </c>
      <c r="G151" s="147" t="s">
        <v>73</v>
      </c>
      <c r="H151" s="96">
        <f>IF(G151="CORTESIA",0,D151*F151)</f>
      </c>
      <c r="I151" s="147" t="s">
        <v>50</v>
      </c>
      <c r="J151" s="149" t="s">
        <v>184</v>
      </c>
      <c r="K151" s="147"/>
      <c r="L151" s="1"/>
      <c r="M151" s="1"/>
      <c r="N151" s="3"/>
    </row>
    <row x14ac:dyDescent="0.25" r="152" customHeight="1" ht="18.75" hidden="1">
      <c r="A152" s="67" t="s">
        <v>159</v>
      </c>
      <c r="B152" s="154" t="s">
        <v>64</v>
      </c>
      <c r="C152" s="160">
        <f>VLOOKUP(B152,CONFIGURAÇÃO!H:I,2,FALSE)</f>
      </c>
      <c r="D152" s="148">
        <v>1</v>
      </c>
      <c r="E152" s="149" t="s">
        <v>72</v>
      </c>
      <c r="F152" s="96">
        <f>VLOOKUP(E152,CONFIGURAÇÃO!E:F,2,0)</f>
      </c>
      <c r="G152" s="147" t="s">
        <v>52</v>
      </c>
      <c r="H152" s="96">
        <f>IF(G152="CORTESIA",0,D152*F152)</f>
      </c>
      <c r="I152" s="147" t="s">
        <v>50</v>
      </c>
      <c r="J152" s="149" t="s">
        <v>184</v>
      </c>
      <c r="K152" s="147"/>
      <c r="L152" s="1"/>
      <c r="M152" s="1"/>
      <c r="N152" s="3"/>
    </row>
    <row x14ac:dyDescent="0.25" r="153" customHeight="1" ht="18.75" hidden="1">
      <c r="A153" s="67" t="s">
        <v>178</v>
      </c>
      <c r="B153" s="155" t="s">
        <v>235</v>
      </c>
      <c r="C153" s="160">
        <f>VLOOKUP(B153,CONFIGURAÇÃO!H:I,2,FALSE)</f>
      </c>
      <c r="D153" s="148">
        <v>1</v>
      </c>
      <c r="E153" s="149" t="s">
        <v>72</v>
      </c>
      <c r="F153" s="96">
        <f>VLOOKUP(E153,CONFIGURAÇÃO!E:F,2,0)</f>
      </c>
      <c r="G153" s="147" t="s">
        <v>73</v>
      </c>
      <c r="H153" s="96">
        <f>IF(G153="CORTESIA",0,D153*F153)</f>
      </c>
      <c r="I153" s="147" t="s">
        <v>50</v>
      </c>
      <c r="J153" s="149" t="s">
        <v>184</v>
      </c>
      <c r="K153" s="147"/>
      <c r="L153" s="1"/>
      <c r="M153" s="1"/>
      <c r="N153" s="3"/>
    </row>
    <row x14ac:dyDescent="0.25" r="154" customHeight="1" ht="18.75" hidden="1">
      <c r="A154" s="67" t="s">
        <v>175</v>
      </c>
      <c r="B154" s="155" t="s">
        <v>235</v>
      </c>
      <c r="C154" s="160">
        <f>VLOOKUP(B154,CONFIGURAÇÃO!H:I,2,FALSE)</f>
      </c>
      <c r="D154" s="148">
        <v>1</v>
      </c>
      <c r="E154" s="149" t="s">
        <v>72</v>
      </c>
      <c r="F154" s="96">
        <f>VLOOKUP(E154,CONFIGURAÇÃO!E:F,2,0)</f>
      </c>
      <c r="G154" s="147" t="s">
        <v>73</v>
      </c>
      <c r="H154" s="96">
        <f>IF(G154="CORTESIA",0,D154*F154)</f>
      </c>
      <c r="I154" s="147" t="s">
        <v>50</v>
      </c>
      <c r="J154" s="149" t="s">
        <v>184</v>
      </c>
      <c r="K154" s="147"/>
      <c r="L154" s="1"/>
      <c r="M154" s="1"/>
      <c r="N154" s="3"/>
    </row>
    <row x14ac:dyDescent="0.25" r="155" customHeight="1" ht="18.75" hidden="1">
      <c r="A155" s="67" t="s">
        <v>172</v>
      </c>
      <c r="B155" s="155" t="s">
        <v>235</v>
      </c>
      <c r="C155" s="160">
        <f>VLOOKUP(B155,CONFIGURAÇÃO!H:I,2,FALSE)</f>
      </c>
      <c r="D155" s="148">
        <v>2</v>
      </c>
      <c r="E155" s="149" t="s">
        <v>183</v>
      </c>
      <c r="F155" s="96">
        <f>VLOOKUP(E155,CONFIGURAÇÃO!E:F,2,0)</f>
      </c>
      <c r="G155" s="147" t="s">
        <v>73</v>
      </c>
      <c r="H155" s="96">
        <f>IF(G155="CORTESIA",0,D155*F155)</f>
      </c>
      <c r="I155" s="147" t="s">
        <v>50</v>
      </c>
      <c r="J155" s="149" t="s">
        <v>184</v>
      </c>
      <c r="K155" s="147"/>
      <c r="L155" s="1"/>
      <c r="M155" s="1"/>
      <c r="N155" s="3"/>
    </row>
    <row x14ac:dyDescent="0.25" r="156" customHeight="1" ht="18.75" hidden="1">
      <c r="A156" s="67" t="s">
        <v>160</v>
      </c>
      <c r="B156" s="155" t="s">
        <v>235</v>
      </c>
      <c r="C156" s="160">
        <f>VLOOKUP(B156,CONFIGURAÇÃO!H:I,2,FALSE)</f>
      </c>
      <c r="D156" s="148">
        <v>1</v>
      </c>
      <c r="E156" s="149" t="s">
        <v>183</v>
      </c>
      <c r="F156" s="96">
        <f>VLOOKUP(E156,CONFIGURAÇÃO!E:F,2,0)</f>
      </c>
      <c r="G156" s="147" t="s">
        <v>73</v>
      </c>
      <c r="H156" s="96">
        <f>IF(G156="CORTESIA",0,D156*F156)</f>
      </c>
      <c r="I156" s="147" t="s">
        <v>50</v>
      </c>
      <c r="J156" s="149" t="s">
        <v>184</v>
      </c>
      <c r="K156" s="147"/>
      <c r="L156" s="1"/>
      <c r="M156" s="1"/>
      <c r="N156" s="3"/>
    </row>
    <row x14ac:dyDescent="0.25" r="157" customHeight="1" ht="18.75" hidden="1">
      <c r="A157" s="65" t="s">
        <v>164</v>
      </c>
      <c r="B157" s="155" t="s">
        <v>235</v>
      </c>
      <c r="C157" s="160">
        <f>VLOOKUP(B157,CONFIGURAÇÃO!H:I,2,FALSE)</f>
      </c>
      <c r="D157" s="66">
        <v>1</v>
      </c>
      <c r="E157" s="147" t="s">
        <v>183</v>
      </c>
      <c r="F157" s="96">
        <v>12</v>
      </c>
      <c r="G157" s="147" t="s">
        <v>73</v>
      </c>
      <c r="H157" s="96">
        <v>12</v>
      </c>
      <c r="I157" s="147" t="s">
        <v>50</v>
      </c>
      <c r="J157" s="149" t="s">
        <v>184</v>
      </c>
      <c r="K157" s="147"/>
      <c r="L157" s="1"/>
      <c r="M157" s="1"/>
      <c r="N157" s="3"/>
    </row>
    <row x14ac:dyDescent="0.25" r="158" customHeight="1" ht="18.75" hidden="1">
      <c r="A158" s="65" t="s">
        <v>228</v>
      </c>
      <c r="B158" s="155" t="s">
        <v>235</v>
      </c>
      <c r="C158" s="160">
        <f>VLOOKUP(B158,CONFIGURAÇÃO!H:I,2,FALSE)</f>
      </c>
      <c r="D158" s="66">
        <v>1</v>
      </c>
      <c r="E158" s="147" t="s">
        <v>72</v>
      </c>
      <c r="F158" s="96">
        <f>VLOOKUP(E158,CONFIGURAÇÃO!E:F,2,0)</f>
      </c>
      <c r="G158" s="147" t="s">
        <v>13</v>
      </c>
      <c r="H158" s="96">
        <f>IF(G158="CORTESIA",0,D158*F158)</f>
      </c>
      <c r="I158" s="147" t="s">
        <v>19</v>
      </c>
      <c r="J158" s="149" t="s">
        <v>184</v>
      </c>
      <c r="K158" s="147"/>
      <c r="L158" s="1"/>
      <c r="M158" s="1"/>
      <c r="N158" s="3"/>
    </row>
    <row x14ac:dyDescent="0.25" r="159" customHeight="1" ht="18.75" hidden="1">
      <c r="A159" s="67" t="s">
        <v>172</v>
      </c>
      <c r="B159" s="154" t="s">
        <v>236</v>
      </c>
      <c r="C159" s="160">
        <f>VLOOKUP(B159,CONFIGURAÇÃO!H:I,2,FALSE)</f>
      </c>
      <c r="D159" s="148">
        <v>1</v>
      </c>
      <c r="E159" s="149" t="s">
        <v>183</v>
      </c>
      <c r="F159" s="96">
        <f>VLOOKUP(E159,CONFIGURAÇÃO!E:F,2,0)</f>
      </c>
      <c r="G159" s="147" t="s">
        <v>73</v>
      </c>
      <c r="H159" s="96">
        <f>IF(G159="CORTESIA",0,D159*F159)</f>
      </c>
      <c r="I159" s="147" t="s">
        <v>50</v>
      </c>
      <c r="J159" s="149" t="s">
        <v>184</v>
      </c>
      <c r="K159" s="147"/>
      <c r="L159" s="1"/>
      <c r="M159" s="1"/>
      <c r="N159" s="3"/>
    </row>
    <row x14ac:dyDescent="0.25" r="160" customHeight="1" ht="18.75" hidden="1">
      <c r="A160" s="67" t="s">
        <v>172</v>
      </c>
      <c r="B160" s="154" t="s">
        <v>236</v>
      </c>
      <c r="C160" s="160">
        <f>VLOOKUP(B160,CONFIGURAÇÃO!H:I,2,FALSE)</f>
      </c>
      <c r="D160" s="148">
        <v>2</v>
      </c>
      <c r="E160" s="149" t="s">
        <v>78</v>
      </c>
      <c r="F160" s="96">
        <f>VLOOKUP(E160,CONFIGURAÇÃO!E:F,2,0)</f>
      </c>
      <c r="G160" s="147" t="s">
        <v>73</v>
      </c>
      <c r="H160" s="96">
        <f>IF(G160="CORTESIA",0,D160*F160)</f>
      </c>
      <c r="I160" s="147" t="s">
        <v>50</v>
      </c>
      <c r="J160" s="149" t="s">
        <v>184</v>
      </c>
      <c r="K160" s="147"/>
      <c r="L160" s="1"/>
      <c r="M160" s="1"/>
      <c r="N160" s="3"/>
    </row>
    <row x14ac:dyDescent="0.25" r="161" customHeight="1" ht="18.75" hidden="1">
      <c r="A161" s="67">
        <v>45750</v>
      </c>
      <c r="B161" s="154" t="s">
        <v>237</v>
      </c>
      <c r="C161" s="160">
        <f>VLOOKUP(B161,CONFIGURAÇÃO!H:I,2,FALSE)</f>
      </c>
      <c r="D161" s="148">
        <v>1</v>
      </c>
      <c r="E161" s="149" t="s">
        <v>78</v>
      </c>
      <c r="F161" s="96">
        <f>VLOOKUP(E161,CONFIGURAÇÃO!E:F,2,0)</f>
      </c>
      <c r="G161" s="147" t="s">
        <v>13</v>
      </c>
      <c r="H161" s="96">
        <f>IF(G161="CORTESIA",0,D161*F161)</f>
      </c>
      <c r="I161" s="147" t="s">
        <v>19</v>
      </c>
      <c r="J161" s="149" t="s">
        <v>184</v>
      </c>
      <c r="K161" s="147"/>
      <c r="L161" s="1"/>
      <c r="M161" s="1"/>
      <c r="N161" s="3"/>
    </row>
    <row x14ac:dyDescent="0.25" r="162" customHeight="1" ht="18.75" hidden="1">
      <c r="A162" s="67" t="s">
        <v>198</v>
      </c>
      <c r="B162" s="154" t="s">
        <v>237</v>
      </c>
      <c r="C162" s="160">
        <f>VLOOKUP(B162,CONFIGURAÇÃO!H:I,2,FALSE)</f>
      </c>
      <c r="D162" s="148">
        <v>2</v>
      </c>
      <c r="E162" s="149" t="s">
        <v>183</v>
      </c>
      <c r="F162" s="96">
        <f>VLOOKUP(E162,CONFIGURAÇÃO!E:F,2,0)</f>
      </c>
      <c r="G162" s="147" t="s">
        <v>73</v>
      </c>
      <c r="H162" s="96">
        <f>IF(G162="CORTESIA",0,D162*F162)</f>
      </c>
      <c r="I162" s="147" t="s">
        <v>50</v>
      </c>
      <c r="J162" s="149" t="s">
        <v>184</v>
      </c>
      <c r="K162" s="147"/>
      <c r="L162" s="1"/>
      <c r="M162" s="1"/>
      <c r="N162" s="3"/>
    </row>
    <row x14ac:dyDescent="0.25" r="163" customHeight="1" ht="18.75" hidden="1">
      <c r="A163" s="67" t="s">
        <v>159</v>
      </c>
      <c r="B163" s="154" t="s">
        <v>237</v>
      </c>
      <c r="C163" s="160">
        <f>VLOOKUP(B163,CONFIGURAÇÃO!H:I,2,FALSE)</f>
      </c>
      <c r="D163" s="148">
        <v>1</v>
      </c>
      <c r="E163" s="149" t="s">
        <v>72</v>
      </c>
      <c r="F163" s="96">
        <f>VLOOKUP(E163,CONFIGURAÇÃO!E:F,2,0)</f>
      </c>
      <c r="G163" s="147" t="s">
        <v>73</v>
      </c>
      <c r="H163" s="96">
        <f>IF(G163="CORTESIA",0,D163*F163)</f>
      </c>
      <c r="I163" s="147" t="s">
        <v>50</v>
      </c>
      <c r="J163" s="149" t="s">
        <v>184</v>
      </c>
      <c r="K163" s="147"/>
      <c r="L163" s="1"/>
      <c r="M163" s="1"/>
      <c r="N163" s="3"/>
    </row>
    <row x14ac:dyDescent="0.25" r="164" customHeight="1" ht="18.75" hidden="1">
      <c r="A164" s="67" t="s">
        <v>159</v>
      </c>
      <c r="B164" s="154" t="s">
        <v>237</v>
      </c>
      <c r="C164" s="160">
        <f>VLOOKUP(B164,CONFIGURAÇÃO!H:I,2,FALSE)</f>
      </c>
      <c r="D164" s="148">
        <v>1</v>
      </c>
      <c r="E164" s="149" t="s">
        <v>78</v>
      </c>
      <c r="F164" s="96">
        <f>VLOOKUP(E164,CONFIGURAÇÃO!E:F,2,0)</f>
      </c>
      <c r="G164" s="147" t="s">
        <v>73</v>
      </c>
      <c r="H164" s="96">
        <f>IF(G164="CORTESIA",0,D164*F164)</f>
      </c>
      <c r="I164" s="147" t="s">
        <v>50</v>
      </c>
      <c r="J164" s="149" t="s">
        <v>184</v>
      </c>
      <c r="K164" s="147"/>
      <c r="L164" s="1"/>
      <c r="M164" s="1"/>
      <c r="N164" s="3"/>
    </row>
    <row x14ac:dyDescent="0.25" r="165" customHeight="1" ht="18.75" hidden="1">
      <c r="A165" s="65" t="s">
        <v>228</v>
      </c>
      <c r="B165" s="155" t="s">
        <v>237</v>
      </c>
      <c r="C165" s="160">
        <f>VLOOKUP(B165,CONFIGURAÇÃO!H:I,2,FALSE)</f>
      </c>
      <c r="D165" s="66">
        <v>1</v>
      </c>
      <c r="E165" s="147" t="s">
        <v>72</v>
      </c>
      <c r="F165" s="96">
        <f>VLOOKUP(E165,CONFIGURAÇÃO!E:F,2,0)</f>
      </c>
      <c r="G165" s="147" t="s">
        <v>13</v>
      </c>
      <c r="H165" s="96">
        <f>IF(G165="CORTESIA",0,D165*F165)</f>
      </c>
      <c r="I165" s="147" t="s">
        <v>19</v>
      </c>
      <c r="J165" s="149" t="s">
        <v>184</v>
      </c>
      <c r="K165" s="147"/>
      <c r="L165" s="1"/>
      <c r="M165" s="1"/>
      <c r="N165" s="3"/>
    </row>
    <row x14ac:dyDescent="0.25" r="166" customHeight="1" ht="18.75" hidden="1">
      <c r="A166" s="67">
        <v>45740</v>
      </c>
      <c r="B166" s="154" t="s">
        <v>238</v>
      </c>
      <c r="C166" s="160">
        <f>VLOOKUP(B166,CONFIGURAÇÃO!H:I,2,FALSE)</f>
      </c>
      <c r="D166" s="148">
        <v>1</v>
      </c>
      <c r="E166" s="149" t="s">
        <v>78</v>
      </c>
      <c r="F166" s="96">
        <f>VLOOKUP(E166,CONFIGURAÇÃO!E:F,2,0)</f>
      </c>
      <c r="G166" s="147" t="s">
        <v>73</v>
      </c>
      <c r="H166" s="96">
        <f>IF(G166="CORTESIA",0,D166*F166)</f>
      </c>
      <c r="I166" s="147" t="s">
        <v>50</v>
      </c>
      <c r="J166" s="149" t="s">
        <v>184</v>
      </c>
      <c r="K166" s="147"/>
      <c r="L166" s="1"/>
      <c r="M166" s="1"/>
      <c r="N166" s="3"/>
    </row>
    <row x14ac:dyDescent="0.25" r="167" customHeight="1" ht="18.75" hidden="1">
      <c r="A167" s="67">
        <v>45740</v>
      </c>
      <c r="B167" s="154" t="s">
        <v>238</v>
      </c>
      <c r="C167" s="160">
        <f>VLOOKUP(B167,CONFIGURAÇÃO!H:I,2,FALSE)</f>
      </c>
      <c r="D167" s="148">
        <v>1</v>
      </c>
      <c r="E167" s="149" t="s">
        <v>72</v>
      </c>
      <c r="F167" s="96">
        <f>VLOOKUP(E167,CONFIGURAÇÃO!E:F,2,0)</f>
      </c>
      <c r="G167" s="147" t="s">
        <v>73</v>
      </c>
      <c r="H167" s="96">
        <f>IF(G167="CORTESIA",0,D167*F167)</f>
      </c>
      <c r="I167" s="147" t="s">
        <v>50</v>
      </c>
      <c r="J167" s="149" t="s">
        <v>184</v>
      </c>
      <c r="K167" s="147"/>
      <c r="L167" s="1"/>
      <c r="M167" s="1"/>
      <c r="N167" s="3"/>
    </row>
    <row x14ac:dyDescent="0.25" r="168" customHeight="1" ht="18.75" hidden="1">
      <c r="A168" s="67" t="s">
        <v>188</v>
      </c>
      <c r="B168" s="154" t="s">
        <v>238</v>
      </c>
      <c r="C168" s="160">
        <f>VLOOKUP(B168,CONFIGURAÇÃO!H:I,2,FALSE)</f>
      </c>
      <c r="D168" s="148">
        <v>1</v>
      </c>
      <c r="E168" s="149" t="s">
        <v>171</v>
      </c>
      <c r="F168" s="96">
        <f>VLOOKUP(E168,CONFIGURAÇÃO!E:F,2,0)</f>
      </c>
      <c r="G168" s="147" t="s">
        <v>73</v>
      </c>
      <c r="H168" s="96">
        <f>IF(G168="CORTESIA",0,D168*F168)</f>
      </c>
      <c r="I168" s="147" t="s">
        <v>50</v>
      </c>
      <c r="J168" s="149" t="s">
        <v>184</v>
      </c>
      <c r="K168" s="147"/>
      <c r="L168" s="1"/>
      <c r="M168" s="1"/>
      <c r="N168" s="3"/>
    </row>
    <row x14ac:dyDescent="0.25" r="169" customHeight="1" ht="18.75" hidden="1">
      <c r="A169" s="67" t="s">
        <v>160</v>
      </c>
      <c r="B169" s="154" t="s">
        <v>238</v>
      </c>
      <c r="C169" s="160">
        <f>VLOOKUP(B169,CONFIGURAÇÃO!H:I,2,FALSE)</f>
      </c>
      <c r="D169" s="148">
        <v>1</v>
      </c>
      <c r="E169" s="149" t="s">
        <v>183</v>
      </c>
      <c r="F169" s="96">
        <f>VLOOKUP(E169,CONFIGURAÇÃO!E:F,2,0)</f>
      </c>
      <c r="G169" s="147" t="s">
        <v>73</v>
      </c>
      <c r="H169" s="96">
        <f>IF(G169="CORTESIA",0,D169*F169)</f>
      </c>
      <c r="I169" s="147" t="s">
        <v>50</v>
      </c>
      <c r="J169" s="149" t="s">
        <v>184</v>
      </c>
      <c r="K169" s="147"/>
      <c r="L169" s="1"/>
      <c r="M169" s="1"/>
      <c r="N169" s="3"/>
    </row>
    <row x14ac:dyDescent="0.25" r="170" customHeight="1" ht="18.75" hidden="1">
      <c r="A170" s="67" t="s">
        <v>179</v>
      </c>
      <c r="B170" s="154" t="s">
        <v>238</v>
      </c>
      <c r="C170" s="160">
        <f>VLOOKUP(B170,CONFIGURAÇÃO!H:I,2,FALSE)</f>
      </c>
      <c r="D170" s="148">
        <v>2</v>
      </c>
      <c r="E170" s="149" t="s">
        <v>78</v>
      </c>
      <c r="F170" s="96">
        <f>VLOOKUP(E170,CONFIGURAÇÃO!E:F,2,0)</f>
      </c>
      <c r="G170" s="147" t="s">
        <v>73</v>
      </c>
      <c r="H170" s="96">
        <f>IF(G170="CORTESIA",0,D170*F170)</f>
      </c>
      <c r="I170" s="147" t="s">
        <v>50</v>
      </c>
      <c r="J170" s="149" t="s">
        <v>184</v>
      </c>
      <c r="K170" s="147"/>
      <c r="L170" s="1"/>
      <c r="M170" s="1"/>
      <c r="N170" s="3"/>
    </row>
    <row x14ac:dyDescent="0.25" r="171" customHeight="1" ht="18.75" hidden="1">
      <c r="A171" s="67">
        <v>45749</v>
      </c>
      <c r="B171" s="154" t="s">
        <v>239</v>
      </c>
      <c r="C171" s="160">
        <f>VLOOKUP(B171,CONFIGURAÇÃO!H:I,2,FALSE)</f>
      </c>
      <c r="D171" s="148">
        <v>1</v>
      </c>
      <c r="E171" s="149" t="s">
        <v>183</v>
      </c>
      <c r="F171" s="96">
        <f>VLOOKUP(E171,CONFIGURAÇÃO!E:F,2,0)</f>
      </c>
      <c r="G171" s="147" t="s">
        <v>13</v>
      </c>
      <c r="H171" s="96">
        <f>IF(G171="CORTESIA",0,D171*F171)</f>
      </c>
      <c r="I171" s="147" t="s">
        <v>19</v>
      </c>
      <c r="J171" s="149" t="s">
        <v>184</v>
      </c>
      <c r="K171" s="147" t="s">
        <v>234</v>
      </c>
      <c r="L171" s="1"/>
      <c r="M171" s="1"/>
      <c r="N171" s="3"/>
    </row>
    <row x14ac:dyDescent="0.25" r="172" customHeight="1" ht="18.75" hidden="1">
      <c r="A172" s="67">
        <v>45750</v>
      </c>
      <c r="B172" s="154" t="s">
        <v>239</v>
      </c>
      <c r="C172" s="160">
        <f>VLOOKUP(B172,CONFIGURAÇÃO!H:I,2,FALSE)</f>
      </c>
      <c r="D172" s="148">
        <v>1</v>
      </c>
      <c r="E172" s="149" t="s">
        <v>78</v>
      </c>
      <c r="F172" s="96">
        <f>VLOOKUP(E172,CONFIGURAÇÃO!E:F,2,0)</f>
      </c>
      <c r="G172" s="147" t="s">
        <v>13</v>
      </c>
      <c r="H172" s="96">
        <f>IF(G172="CORTESIA",0,D172*F172)</f>
      </c>
      <c r="I172" s="147" t="s">
        <v>19</v>
      </c>
      <c r="J172" s="149" t="s">
        <v>184</v>
      </c>
      <c r="K172" s="147" t="s">
        <v>234</v>
      </c>
      <c r="L172" s="1"/>
      <c r="M172" s="1"/>
      <c r="N172" s="3"/>
    </row>
    <row x14ac:dyDescent="0.25" r="173" customHeight="1" ht="18.75" hidden="1">
      <c r="A173" s="67" t="s">
        <v>178</v>
      </c>
      <c r="B173" s="154" t="s">
        <v>239</v>
      </c>
      <c r="C173" s="160">
        <f>VLOOKUP(B173,CONFIGURAÇÃO!H:I,2,FALSE)</f>
      </c>
      <c r="D173" s="148">
        <v>1</v>
      </c>
      <c r="E173" s="149" t="s">
        <v>72</v>
      </c>
      <c r="F173" s="96">
        <f>VLOOKUP(E173,CONFIGURAÇÃO!E:F,2,0)</f>
      </c>
      <c r="G173" s="147" t="s">
        <v>73</v>
      </c>
      <c r="H173" s="96">
        <f>IF(G173="CORTESIA",0,D173*F173)</f>
      </c>
      <c r="I173" s="147" t="s">
        <v>50</v>
      </c>
      <c r="J173" s="149" t="s">
        <v>184</v>
      </c>
      <c r="K173" s="147"/>
      <c r="L173" s="1"/>
      <c r="M173" s="1"/>
      <c r="N173" s="3"/>
    </row>
    <row x14ac:dyDescent="0.25" r="174" customHeight="1" ht="18.75" hidden="1">
      <c r="A174" s="67" t="s">
        <v>175</v>
      </c>
      <c r="B174" s="154" t="s">
        <v>239</v>
      </c>
      <c r="C174" s="160">
        <f>VLOOKUP(B174,CONFIGURAÇÃO!H:I,2,FALSE)</f>
      </c>
      <c r="D174" s="148">
        <v>1</v>
      </c>
      <c r="E174" s="149" t="s">
        <v>72</v>
      </c>
      <c r="F174" s="96">
        <f>VLOOKUP(E174,CONFIGURAÇÃO!E:F,2,0)</f>
      </c>
      <c r="G174" s="147" t="s">
        <v>73</v>
      </c>
      <c r="H174" s="96">
        <f>IF(G174="CORTESIA",0,D174*F174)</f>
      </c>
      <c r="I174" s="147" t="s">
        <v>50</v>
      </c>
      <c r="J174" s="149" t="s">
        <v>184</v>
      </c>
      <c r="K174" s="147"/>
      <c r="L174" s="1"/>
      <c r="M174" s="1"/>
      <c r="N174" s="3"/>
    </row>
    <row x14ac:dyDescent="0.25" r="175" customHeight="1" ht="18.75" hidden="1">
      <c r="A175" s="65" t="s">
        <v>159</v>
      </c>
      <c r="B175" s="155" t="s">
        <v>239</v>
      </c>
      <c r="C175" s="160">
        <f>VLOOKUP(B175,CONFIGURAÇÃO!H:I,2,FALSE)</f>
      </c>
      <c r="D175" s="66">
        <v>1</v>
      </c>
      <c r="E175" s="147" t="s">
        <v>72</v>
      </c>
      <c r="F175" s="96">
        <f>VLOOKUP(E175,CONFIGURAÇÃO!E:F,2,0)</f>
      </c>
      <c r="G175" s="147" t="s">
        <v>13</v>
      </c>
      <c r="H175" s="96">
        <f>IF(G175="CORTESIA",0,D175*F175)</f>
      </c>
      <c r="I175" s="147" t="s">
        <v>19</v>
      </c>
      <c r="J175" s="149" t="s">
        <v>184</v>
      </c>
      <c r="K175" s="147" t="s">
        <v>234</v>
      </c>
      <c r="L175" s="1"/>
      <c r="M175" s="1"/>
      <c r="N175" s="3"/>
    </row>
    <row x14ac:dyDescent="0.25" r="176" customHeight="1" ht="18.75" hidden="1">
      <c r="A176" s="67" t="s">
        <v>179</v>
      </c>
      <c r="B176" s="154" t="s">
        <v>239</v>
      </c>
      <c r="C176" s="160">
        <f>VLOOKUP(B176,CONFIGURAÇÃO!H:I,2,FALSE)</f>
      </c>
      <c r="D176" s="148">
        <v>1</v>
      </c>
      <c r="E176" s="149" t="s">
        <v>78</v>
      </c>
      <c r="F176" s="96">
        <f>VLOOKUP(E176,CONFIGURAÇÃO!E:F,2,0)</f>
      </c>
      <c r="G176" s="147" t="s">
        <v>13</v>
      </c>
      <c r="H176" s="96">
        <f>IF(G176="CORTESIA",0,D176*F176)</f>
      </c>
      <c r="I176" s="147" t="s">
        <v>50</v>
      </c>
      <c r="J176" s="149" t="s">
        <v>184</v>
      </c>
      <c r="K176" s="147"/>
      <c r="L176" s="1"/>
      <c r="M176" s="1"/>
      <c r="N176" s="3"/>
    </row>
    <row x14ac:dyDescent="0.25" r="177" customHeight="1" ht="18.75" hidden="1">
      <c r="A177" s="67" t="s">
        <v>164</v>
      </c>
      <c r="B177" s="154" t="s">
        <v>239</v>
      </c>
      <c r="C177" s="160">
        <f>VLOOKUP(B177,CONFIGURAÇÃO!H:I,2,FALSE)</f>
      </c>
      <c r="D177" s="148">
        <v>1</v>
      </c>
      <c r="E177" s="149" t="s">
        <v>183</v>
      </c>
      <c r="F177" s="96">
        <f>VLOOKUP(E177,CONFIGURAÇÃO!E:F,2,0)</f>
      </c>
      <c r="G177" s="147" t="s">
        <v>13</v>
      </c>
      <c r="H177" s="96">
        <f>IF(G177="CORTESIA",0,D177*F177)</f>
      </c>
      <c r="I177" s="147" t="s">
        <v>19</v>
      </c>
      <c r="J177" s="149" t="s">
        <v>184</v>
      </c>
      <c r="K177" s="147" t="s">
        <v>234</v>
      </c>
      <c r="L177" s="1"/>
      <c r="M177" s="1"/>
      <c r="N177" s="3"/>
    </row>
    <row x14ac:dyDescent="0.25" r="178" customHeight="1" ht="18.75" hidden="1">
      <c r="A178" s="67" t="s">
        <v>175</v>
      </c>
      <c r="B178" s="154" t="s">
        <v>240</v>
      </c>
      <c r="C178" s="160">
        <f>VLOOKUP(B178,CONFIGURAÇÃO!H:I,2,FALSE)</f>
      </c>
      <c r="D178" s="148">
        <v>1</v>
      </c>
      <c r="E178" s="149" t="s">
        <v>72</v>
      </c>
      <c r="F178" s="96">
        <f>VLOOKUP(E178,CONFIGURAÇÃO!E:F,2,0)</f>
      </c>
      <c r="G178" s="147" t="s">
        <v>13</v>
      </c>
      <c r="H178" s="96">
        <f>IF(G178="CORTESIA",0,D178*F178)</f>
      </c>
      <c r="I178" s="147" t="s">
        <v>50</v>
      </c>
      <c r="J178" s="149" t="s">
        <v>184</v>
      </c>
      <c r="K178" s="147"/>
      <c r="L178" s="1"/>
      <c r="M178" s="1"/>
      <c r="N178" s="3"/>
    </row>
    <row x14ac:dyDescent="0.25" r="179" customHeight="1" ht="18.75" hidden="1">
      <c r="A179" s="65" t="s">
        <v>177</v>
      </c>
      <c r="B179" s="155" t="s">
        <v>240</v>
      </c>
      <c r="C179" s="160">
        <f>VLOOKUP(B179,CONFIGURAÇÃO!H:I,2,FALSE)</f>
      </c>
      <c r="D179" s="66">
        <v>1</v>
      </c>
      <c r="E179" s="147" t="s">
        <v>183</v>
      </c>
      <c r="F179" s="96">
        <f>VLOOKUP(E179,CONFIGURAÇÃO!E:F,2,0)</f>
      </c>
      <c r="G179" s="147" t="s">
        <v>13</v>
      </c>
      <c r="H179" s="96">
        <f>IF(G179="CORTESIA",0,D179*F179)</f>
      </c>
      <c r="I179" s="147" t="s">
        <v>19</v>
      </c>
      <c r="J179" s="149" t="s">
        <v>184</v>
      </c>
      <c r="K179" s="147" t="s">
        <v>241</v>
      </c>
      <c r="L179" s="1"/>
      <c r="M179" s="1"/>
      <c r="N179" s="3"/>
    </row>
    <row x14ac:dyDescent="0.25" r="180" customHeight="1" ht="18.75" hidden="1">
      <c r="A180" s="65" t="s">
        <v>172</v>
      </c>
      <c r="B180" s="155" t="s">
        <v>240</v>
      </c>
      <c r="C180" s="160">
        <f>VLOOKUP(B180,CONFIGURAÇÃO!H:I,2,FALSE)</f>
      </c>
      <c r="D180" s="66">
        <v>1</v>
      </c>
      <c r="E180" s="147" t="s">
        <v>78</v>
      </c>
      <c r="F180" s="96">
        <f>VLOOKUP(E180,CONFIGURAÇÃO!E:F,2,0)</f>
      </c>
      <c r="G180" s="147" t="s">
        <v>13</v>
      </c>
      <c r="H180" s="96">
        <f>IF(G180="CORTESIA",0,D180*F180)</f>
      </c>
      <c r="I180" s="147" t="s">
        <v>19</v>
      </c>
      <c r="J180" s="149" t="s">
        <v>184</v>
      </c>
      <c r="K180" s="147" t="s">
        <v>241</v>
      </c>
      <c r="L180" s="1"/>
      <c r="M180" s="1"/>
      <c r="N180" s="3"/>
    </row>
    <row x14ac:dyDescent="0.25" r="181" customHeight="1" ht="18.75" hidden="1">
      <c r="A181" s="65" t="s">
        <v>159</v>
      </c>
      <c r="B181" s="155" t="s">
        <v>240</v>
      </c>
      <c r="C181" s="160">
        <f>VLOOKUP(B181,CONFIGURAÇÃO!H:I,2,FALSE)</f>
      </c>
      <c r="D181" s="66">
        <v>1</v>
      </c>
      <c r="E181" s="147" t="s">
        <v>78</v>
      </c>
      <c r="F181" s="96">
        <f>VLOOKUP(E181,CONFIGURAÇÃO!E:F,2,0)</f>
      </c>
      <c r="G181" s="147" t="s">
        <v>13</v>
      </c>
      <c r="H181" s="96">
        <f>IF(G181="CORTESIA",0,D181*F181)</f>
      </c>
      <c r="I181" s="147" t="s">
        <v>19</v>
      </c>
      <c r="J181" s="149" t="s">
        <v>184</v>
      </c>
      <c r="K181" s="147" t="s">
        <v>241</v>
      </c>
      <c r="L181" s="1"/>
      <c r="M181" s="1"/>
      <c r="N181" s="3"/>
    </row>
    <row x14ac:dyDescent="0.25" r="182" customHeight="1" ht="18.75" hidden="1">
      <c r="A182" s="65" t="s">
        <v>159</v>
      </c>
      <c r="B182" s="155" t="s">
        <v>240</v>
      </c>
      <c r="C182" s="160">
        <f>VLOOKUP(B182,CONFIGURAÇÃO!H:I,2,FALSE)</f>
      </c>
      <c r="D182" s="66">
        <v>1</v>
      </c>
      <c r="E182" s="147" t="s">
        <v>72</v>
      </c>
      <c r="F182" s="96">
        <f>VLOOKUP(E182,CONFIGURAÇÃO!E:F,2,0)</f>
      </c>
      <c r="G182" s="147" t="s">
        <v>13</v>
      </c>
      <c r="H182" s="96">
        <f>IF(G182="CORTESIA",0,D182*F182)</f>
      </c>
      <c r="I182" s="147" t="s">
        <v>19</v>
      </c>
      <c r="J182" s="149" t="s">
        <v>184</v>
      </c>
      <c r="K182" s="147" t="s">
        <v>241</v>
      </c>
      <c r="L182" s="1"/>
      <c r="M182" s="1"/>
      <c r="N182" s="3"/>
    </row>
    <row x14ac:dyDescent="0.25" r="183" customHeight="1" ht="18.75" hidden="1">
      <c r="A183" s="65" t="s">
        <v>160</v>
      </c>
      <c r="B183" s="155" t="s">
        <v>240</v>
      </c>
      <c r="C183" s="160">
        <f>VLOOKUP(B183,CONFIGURAÇÃO!H:I,2,FALSE)</f>
      </c>
      <c r="D183" s="66">
        <v>1</v>
      </c>
      <c r="E183" s="147" t="s">
        <v>183</v>
      </c>
      <c r="F183" s="96">
        <f>VLOOKUP(E183,CONFIGURAÇÃO!E:F,2,0)</f>
      </c>
      <c r="G183" s="147" t="s">
        <v>13</v>
      </c>
      <c r="H183" s="96">
        <f>IF(G183="CORTESIA",0,D183*F183)</f>
      </c>
      <c r="I183" s="147" t="s">
        <v>19</v>
      </c>
      <c r="J183" s="149" t="s">
        <v>184</v>
      </c>
      <c r="K183" s="147" t="s">
        <v>241</v>
      </c>
      <c r="L183" s="1"/>
      <c r="M183" s="1"/>
      <c r="N183" s="3"/>
    </row>
    <row x14ac:dyDescent="0.25" r="184" customHeight="1" ht="18.75" hidden="1">
      <c r="A184" s="65" t="s">
        <v>160</v>
      </c>
      <c r="B184" s="161" t="s">
        <v>240</v>
      </c>
      <c r="C184" s="160">
        <f>VLOOKUP(B184,CONFIGURAÇÃO!H:I,2,FALSE)</f>
      </c>
      <c r="D184" s="66">
        <v>1</v>
      </c>
      <c r="E184" s="147" t="s">
        <v>183</v>
      </c>
      <c r="F184" s="96">
        <f>VLOOKUP(E184,CONFIGURAÇÃO!E:F,2,0)</f>
      </c>
      <c r="G184" s="147" t="s">
        <v>13</v>
      </c>
      <c r="H184" s="96">
        <f>IF(G184="CORTESIA",0,D184*F184)</f>
      </c>
      <c r="I184" s="147" t="s">
        <v>19</v>
      </c>
      <c r="J184" s="149" t="s">
        <v>184</v>
      </c>
      <c r="K184" s="147" t="s">
        <v>241</v>
      </c>
      <c r="L184" s="1"/>
      <c r="M184" s="1"/>
      <c r="N184" s="3"/>
    </row>
    <row x14ac:dyDescent="0.25" r="185" customHeight="1" ht="18.75" hidden="1">
      <c r="A185" s="67" t="s">
        <v>205</v>
      </c>
      <c r="B185" s="154" t="s">
        <v>240</v>
      </c>
      <c r="C185" s="160">
        <f>VLOOKUP(B185,CONFIGURAÇÃO!H:I,2,FALSE)</f>
      </c>
      <c r="D185" s="148">
        <v>1</v>
      </c>
      <c r="E185" s="149" t="s">
        <v>72</v>
      </c>
      <c r="F185" s="96">
        <f>VLOOKUP(E185,CONFIGURAÇÃO!E:F,2,0)</f>
      </c>
      <c r="G185" s="147" t="s">
        <v>13</v>
      </c>
      <c r="H185" s="96">
        <f>IF(G185="CORTESIA",0,D185*F185)</f>
      </c>
      <c r="I185" s="147" t="s">
        <v>19</v>
      </c>
      <c r="J185" s="149" t="s">
        <v>184</v>
      </c>
      <c r="K185" s="147" t="s">
        <v>241</v>
      </c>
      <c r="L185" s="1"/>
      <c r="M185" s="1"/>
      <c r="N185" s="3"/>
    </row>
    <row x14ac:dyDescent="0.25" r="186" customHeight="1" ht="18.75" hidden="1">
      <c r="A186" s="67" t="s">
        <v>162</v>
      </c>
      <c r="B186" s="154" t="s">
        <v>240</v>
      </c>
      <c r="C186" s="160">
        <f>VLOOKUP(B186,CONFIGURAÇÃO!H:I,2,FALSE)</f>
      </c>
      <c r="D186" s="148">
        <v>1</v>
      </c>
      <c r="E186" s="149" t="s">
        <v>183</v>
      </c>
      <c r="F186" s="96">
        <f>VLOOKUP(E186,CONFIGURAÇÃO!E:F,2,0)</f>
      </c>
      <c r="G186" s="147" t="s">
        <v>13</v>
      </c>
      <c r="H186" s="96">
        <f>IF(G186="CORTESIA",0,D186*F186)</f>
      </c>
      <c r="I186" s="147" t="s">
        <v>19</v>
      </c>
      <c r="J186" s="149" t="s">
        <v>184</v>
      </c>
      <c r="K186" s="147" t="s">
        <v>241</v>
      </c>
      <c r="L186" s="1"/>
      <c r="M186" s="1"/>
      <c r="N186" s="3"/>
    </row>
    <row x14ac:dyDescent="0.25" r="187" customHeight="1" ht="18.75" hidden="1">
      <c r="A187" s="67">
        <v>45749</v>
      </c>
      <c r="B187" s="154" t="s">
        <v>148</v>
      </c>
      <c r="C187" s="160">
        <f>VLOOKUP(B187,CONFIGURAÇÃO!H:I,2,FALSE)</f>
      </c>
      <c r="D187" s="148">
        <v>1</v>
      </c>
      <c r="E187" s="149" t="s">
        <v>183</v>
      </c>
      <c r="F187" s="96">
        <f>VLOOKUP(E187,CONFIGURAÇÃO!E:F,2,0)</f>
      </c>
      <c r="G187" s="147" t="s">
        <v>13</v>
      </c>
      <c r="H187" s="96">
        <f>IF(G187="CORTESIA",0,D187*F187)</f>
      </c>
      <c r="I187" s="147" t="s">
        <v>22</v>
      </c>
      <c r="J187" s="149" t="s">
        <v>184</v>
      </c>
      <c r="K187" s="147"/>
      <c r="L187" s="1"/>
      <c r="M187" s="1"/>
      <c r="N187" s="3"/>
    </row>
    <row x14ac:dyDescent="0.25" r="188" customHeight="1" ht="18.75" hidden="1">
      <c r="A188" s="67">
        <v>45750</v>
      </c>
      <c r="B188" s="154" t="s">
        <v>148</v>
      </c>
      <c r="C188" s="160">
        <f>VLOOKUP(B188,CONFIGURAÇÃO!H:I,2,FALSE)</f>
      </c>
      <c r="D188" s="148">
        <v>1</v>
      </c>
      <c r="E188" s="149" t="s">
        <v>78</v>
      </c>
      <c r="F188" s="96">
        <f>VLOOKUP(E188,CONFIGURAÇÃO!E:F,2,0)</f>
      </c>
      <c r="G188" s="147" t="s">
        <v>13</v>
      </c>
      <c r="H188" s="96">
        <f>IF(G188="CORTESIA",0,D188*F188)</f>
      </c>
      <c r="I188" s="147" t="s">
        <v>22</v>
      </c>
      <c r="J188" s="149" t="s">
        <v>184</v>
      </c>
      <c r="K188" s="147"/>
      <c r="L188" s="1"/>
      <c r="M188" s="1"/>
      <c r="N188" s="3"/>
    </row>
    <row x14ac:dyDescent="0.25" r="189" customHeight="1" ht="18.75" hidden="1">
      <c r="A189" s="65" t="s">
        <v>188</v>
      </c>
      <c r="B189" s="155" t="s">
        <v>148</v>
      </c>
      <c r="C189" s="160">
        <f>VLOOKUP(B189,CONFIGURAÇÃO!H:I,2,FALSE)</f>
      </c>
      <c r="D189" s="66">
        <v>1</v>
      </c>
      <c r="E189" s="147" t="s">
        <v>72</v>
      </c>
      <c r="F189" s="96">
        <f>VLOOKUP(E189,CONFIGURAÇÃO!E:F,2,0)</f>
      </c>
      <c r="G189" s="147" t="s">
        <v>13</v>
      </c>
      <c r="H189" s="96">
        <f>IF(G189="CORTESIA",0,D189*F189)</f>
      </c>
      <c r="I189" s="147" t="s">
        <v>22</v>
      </c>
      <c r="J189" s="149" t="s">
        <v>184</v>
      </c>
      <c r="K189" s="147"/>
      <c r="L189" s="1"/>
      <c r="M189" s="1"/>
      <c r="N189" s="3"/>
    </row>
    <row x14ac:dyDescent="0.25" r="190" customHeight="1" ht="18.75" hidden="1">
      <c r="A190" s="65" t="s">
        <v>205</v>
      </c>
      <c r="B190" s="155" t="s">
        <v>148</v>
      </c>
      <c r="C190" s="160">
        <f>VLOOKUP(B190,CONFIGURAÇÃO!H:I,2,FALSE)</f>
      </c>
      <c r="D190" s="66">
        <v>1</v>
      </c>
      <c r="E190" s="147" t="s">
        <v>72</v>
      </c>
      <c r="F190" s="96">
        <f>VLOOKUP(E190,CONFIGURAÇÃO!E:F,2,0)</f>
      </c>
      <c r="G190" s="147" t="s">
        <v>13</v>
      </c>
      <c r="H190" s="96">
        <f>IF(G190="CORTESIA",0,D190*F190)</f>
      </c>
      <c r="I190" s="147" t="s">
        <v>22</v>
      </c>
      <c r="J190" s="149" t="s">
        <v>184</v>
      </c>
      <c r="K190" s="147"/>
      <c r="L190" s="1"/>
      <c r="M190" s="1"/>
      <c r="N190" s="3"/>
    </row>
    <row x14ac:dyDescent="0.25" r="191" customHeight="1" ht="18.75" hidden="1">
      <c r="A191" s="65">
        <v>45661</v>
      </c>
      <c r="B191" s="155" t="s">
        <v>242</v>
      </c>
      <c r="C191" s="160">
        <f>VLOOKUP(B191,CONFIGURAÇÃO!H:I,2,FALSE)</f>
      </c>
      <c r="D191" s="66">
        <v>1</v>
      </c>
      <c r="E191" s="147" t="s">
        <v>72</v>
      </c>
      <c r="F191" s="96">
        <v>10</v>
      </c>
      <c r="G191" s="147" t="s">
        <v>13</v>
      </c>
      <c r="H191" s="96">
        <v>10</v>
      </c>
      <c r="I191" s="147" t="s">
        <v>50</v>
      </c>
      <c r="J191" s="149" t="s">
        <v>184</v>
      </c>
      <c r="K191" s="147"/>
      <c r="L191" s="1"/>
      <c r="M191" s="1"/>
      <c r="N191" s="3"/>
    </row>
    <row x14ac:dyDescent="0.25" r="192" customHeight="1" ht="18.75" hidden="1">
      <c r="A192" s="65" t="s">
        <v>163</v>
      </c>
      <c r="B192" s="155" t="s">
        <v>242</v>
      </c>
      <c r="C192" s="160">
        <f>VLOOKUP(B192,CONFIGURAÇÃO!H:I,2,FALSE)</f>
      </c>
      <c r="D192" s="66">
        <v>1</v>
      </c>
      <c r="E192" s="147" t="s">
        <v>183</v>
      </c>
      <c r="F192" s="96">
        <v>12</v>
      </c>
      <c r="G192" s="147" t="s">
        <v>13</v>
      </c>
      <c r="H192" s="96">
        <v>12</v>
      </c>
      <c r="I192" s="147" t="s">
        <v>50</v>
      </c>
      <c r="J192" s="149" t="s">
        <v>184</v>
      </c>
      <c r="K192" s="147"/>
      <c r="L192" s="1"/>
      <c r="M192" s="1"/>
      <c r="N192" s="3"/>
    </row>
    <row x14ac:dyDescent="0.25" r="193" customHeight="1" ht="18.75" hidden="1">
      <c r="A193" s="67">
        <v>45748</v>
      </c>
      <c r="B193" s="154" t="s">
        <v>181</v>
      </c>
      <c r="C193" s="160">
        <f>VLOOKUP(B193,CONFIGURAÇÃO!H:I,2,FALSE)</f>
      </c>
      <c r="D193" s="148">
        <v>4</v>
      </c>
      <c r="E193" s="149" t="s">
        <v>72</v>
      </c>
      <c r="F193" s="96">
        <f>VLOOKUP(E193,CONFIGURAÇÃO!E:F,2,0)</f>
      </c>
      <c r="G193" s="147" t="s">
        <v>13</v>
      </c>
      <c r="H193" s="96">
        <f>IF(G193="CORTESIA",0,D193*F193)</f>
      </c>
      <c r="I193" s="147" t="s">
        <v>19</v>
      </c>
      <c r="J193" s="149" t="s">
        <v>184</v>
      </c>
      <c r="K193" s="147"/>
      <c r="L193" s="1"/>
      <c r="M193" s="1"/>
      <c r="N193" s="3"/>
    </row>
    <row x14ac:dyDescent="0.25" r="194" customHeight="1" ht="18.75" hidden="1">
      <c r="A194" s="65" t="s">
        <v>172</v>
      </c>
      <c r="B194" s="155" t="s">
        <v>181</v>
      </c>
      <c r="C194" s="160">
        <f>VLOOKUP(B194,CONFIGURAÇÃO!H:I,2,FALSE)</f>
      </c>
      <c r="D194" s="66">
        <v>1</v>
      </c>
      <c r="E194" s="147" t="s">
        <v>78</v>
      </c>
      <c r="F194" s="96">
        <f>VLOOKUP(E194,CONFIGURAÇÃO!E:F,2,0)</f>
      </c>
      <c r="G194" s="147" t="s">
        <v>13</v>
      </c>
      <c r="H194" s="96">
        <f>IF(G194="CORTESIA",0,D194*F194)</f>
      </c>
      <c r="I194" s="147" t="s">
        <v>19</v>
      </c>
      <c r="J194" s="149" t="s">
        <v>184</v>
      </c>
      <c r="K194" s="147"/>
      <c r="L194" s="1"/>
      <c r="M194" s="1"/>
      <c r="N194" s="3"/>
    </row>
    <row x14ac:dyDescent="0.25" r="195" customHeight="1" ht="18.75" hidden="1">
      <c r="A195" s="65" t="s">
        <v>159</v>
      </c>
      <c r="B195" s="155" t="s">
        <v>181</v>
      </c>
      <c r="C195" s="160">
        <f>VLOOKUP(B195,CONFIGURAÇÃO!H:I,2,FALSE)</f>
      </c>
      <c r="D195" s="66">
        <v>2</v>
      </c>
      <c r="E195" s="147" t="s">
        <v>78</v>
      </c>
      <c r="F195" s="96">
        <f>VLOOKUP(E195,CONFIGURAÇÃO!E:F,2,0)</f>
      </c>
      <c r="G195" s="147" t="s">
        <v>13</v>
      </c>
      <c r="H195" s="96">
        <f>IF(G195="CORTESIA",0,D195*F195)</f>
      </c>
      <c r="I195" s="147" t="s">
        <v>19</v>
      </c>
      <c r="J195" s="149" t="s">
        <v>184</v>
      </c>
      <c r="K195" s="147"/>
      <c r="L195" s="1"/>
      <c r="M195" s="1"/>
      <c r="N195" s="3"/>
    </row>
    <row x14ac:dyDescent="0.25" r="196" customHeight="1" ht="18.75" hidden="1">
      <c r="A196" s="65" t="s">
        <v>160</v>
      </c>
      <c r="B196" s="155" t="s">
        <v>181</v>
      </c>
      <c r="C196" s="160">
        <f>VLOOKUP(B196,CONFIGURAÇÃO!H:I,2,FALSE)</f>
      </c>
      <c r="D196" s="66">
        <v>2</v>
      </c>
      <c r="E196" s="147" t="s">
        <v>183</v>
      </c>
      <c r="F196" s="96">
        <f>VLOOKUP(E196,CONFIGURAÇÃO!E:F,2,0)</f>
      </c>
      <c r="G196" s="147" t="s">
        <v>13</v>
      </c>
      <c r="H196" s="96">
        <f>IF(G196="CORTESIA",0,D196*F196)</f>
      </c>
      <c r="I196" s="147" t="s">
        <v>19</v>
      </c>
      <c r="J196" s="149" t="s">
        <v>184</v>
      </c>
      <c r="K196" s="147"/>
      <c r="L196" s="1"/>
      <c r="M196" s="1"/>
      <c r="N196" s="3"/>
    </row>
    <row x14ac:dyDescent="0.25" r="197" customHeight="1" ht="18.75" hidden="1">
      <c r="A197" s="67" t="s">
        <v>179</v>
      </c>
      <c r="B197" s="154" t="s">
        <v>181</v>
      </c>
      <c r="C197" s="160">
        <f>VLOOKUP(B197,CONFIGURAÇÃO!H:I,2,FALSE)</f>
      </c>
      <c r="D197" s="148">
        <v>2</v>
      </c>
      <c r="E197" s="149" t="s">
        <v>78</v>
      </c>
      <c r="F197" s="96">
        <f>VLOOKUP(E197,CONFIGURAÇÃO!E:F,2,0)</f>
      </c>
      <c r="G197" s="147" t="s">
        <v>13</v>
      </c>
      <c r="H197" s="96">
        <f>IF(G197="CORTESIA",0,D197*F197)</f>
      </c>
      <c r="I197" s="147" t="s">
        <v>50</v>
      </c>
      <c r="J197" s="149" t="s">
        <v>184</v>
      </c>
      <c r="K197" s="147"/>
      <c r="L197" s="1"/>
      <c r="M197" s="1"/>
      <c r="N197" s="3"/>
    </row>
    <row x14ac:dyDescent="0.25" r="198" customHeight="1" ht="18.75" hidden="1">
      <c r="A198" s="67" t="s">
        <v>163</v>
      </c>
      <c r="B198" s="154" t="s">
        <v>181</v>
      </c>
      <c r="C198" s="160">
        <f>VLOOKUP(B198,CONFIGURAÇÃO!H:I,2,FALSE)</f>
      </c>
      <c r="D198" s="148">
        <v>2</v>
      </c>
      <c r="E198" s="149" t="s">
        <v>78</v>
      </c>
      <c r="F198" s="96">
        <f>VLOOKUP(E198,CONFIGURAÇÃO!E:F,2,0)</f>
      </c>
      <c r="G198" s="147" t="s">
        <v>13</v>
      </c>
      <c r="H198" s="96">
        <f>IF(G198="CORTESIA",0,D198*F198)</f>
      </c>
      <c r="I198" s="147" t="s">
        <v>19</v>
      </c>
      <c r="J198" s="149" t="s">
        <v>184</v>
      </c>
      <c r="K198" s="147"/>
      <c r="L198" s="1"/>
      <c r="M198" s="1"/>
      <c r="N198" s="3"/>
    </row>
    <row x14ac:dyDescent="0.25" r="199" customHeight="1" ht="18.75" hidden="1">
      <c r="A199" s="67" t="s">
        <v>164</v>
      </c>
      <c r="B199" s="154" t="s">
        <v>181</v>
      </c>
      <c r="C199" s="160">
        <f>VLOOKUP(B199,CONFIGURAÇÃO!H:I,2,FALSE)</f>
      </c>
      <c r="D199" s="148">
        <v>2</v>
      </c>
      <c r="E199" s="149" t="s">
        <v>78</v>
      </c>
      <c r="F199" s="96">
        <f>VLOOKUP(E199,CONFIGURAÇÃO!E:F,2,0)</f>
      </c>
      <c r="G199" s="147" t="s">
        <v>13</v>
      </c>
      <c r="H199" s="96">
        <f>IF(G199="CORTESIA",0,D199*F199)</f>
      </c>
      <c r="I199" s="147" t="s">
        <v>19</v>
      </c>
      <c r="J199" s="149" t="s">
        <v>184</v>
      </c>
      <c r="K199" s="147"/>
      <c r="L199" s="1"/>
      <c r="M199" s="1"/>
      <c r="N199" s="3"/>
    </row>
    <row x14ac:dyDescent="0.25" r="200" customHeight="1" ht="18.75" hidden="1">
      <c r="A200" s="67" t="s">
        <v>189</v>
      </c>
      <c r="B200" s="154" t="s">
        <v>181</v>
      </c>
      <c r="C200" s="160">
        <f>VLOOKUP(B200,CONFIGURAÇÃO!H:I,2,FALSE)</f>
      </c>
      <c r="D200" s="148">
        <v>1</v>
      </c>
      <c r="E200" s="149" t="s">
        <v>72</v>
      </c>
      <c r="F200" s="96">
        <f>VLOOKUP(E200,CONFIGURAÇÃO!E:F,2,0)</f>
      </c>
      <c r="G200" s="147" t="s">
        <v>13</v>
      </c>
      <c r="H200" s="96">
        <f>IF(G200="CORTESIA",0,D200*F200)</f>
      </c>
      <c r="I200" s="147" t="s">
        <v>19</v>
      </c>
      <c r="J200" s="147" t="s">
        <v>184</v>
      </c>
      <c r="K200" s="147"/>
      <c r="L200" s="1"/>
      <c r="M200" s="1"/>
      <c r="N200" s="3"/>
    </row>
    <row x14ac:dyDescent="0.25" r="201" customHeight="1" ht="18.75" hidden="1">
      <c r="A201" s="67" t="s">
        <v>189</v>
      </c>
      <c r="B201" s="154" t="s">
        <v>181</v>
      </c>
      <c r="C201" s="160">
        <f>VLOOKUP(B201,CONFIGURAÇÃO!H:I,2,FALSE)</f>
      </c>
      <c r="D201" s="148">
        <v>2</v>
      </c>
      <c r="E201" s="149" t="s">
        <v>78</v>
      </c>
      <c r="F201" s="96">
        <f>VLOOKUP(E201,CONFIGURAÇÃO!E:F,2,0)</f>
      </c>
      <c r="G201" s="147" t="s">
        <v>13</v>
      </c>
      <c r="H201" s="96">
        <f>IF(G201="CORTESIA",0,D201*F201)</f>
      </c>
      <c r="I201" s="147" t="s">
        <v>19</v>
      </c>
      <c r="J201" s="147" t="s">
        <v>184</v>
      </c>
      <c r="K201" s="147"/>
      <c r="L201" s="1"/>
      <c r="M201" s="1"/>
      <c r="N201" s="3"/>
    </row>
    <row x14ac:dyDescent="0.25" r="202" customHeight="1" ht="18.75" hidden="1">
      <c r="A202" s="65" t="s">
        <v>189</v>
      </c>
      <c r="B202" s="154" t="s">
        <v>181</v>
      </c>
      <c r="C202" s="160">
        <f>VLOOKUP(B202,CONFIGURAÇÃO!H:I,2,FALSE)</f>
      </c>
      <c r="D202" s="66">
        <v>1</v>
      </c>
      <c r="E202" s="147" t="s">
        <v>78</v>
      </c>
      <c r="F202" s="96">
        <f>VLOOKUP(E202,CONFIGURAÇÃO!E:F,2,0)</f>
      </c>
      <c r="G202" s="147" t="s">
        <v>13</v>
      </c>
      <c r="H202" s="96">
        <f>IF(G202="CORTESIA",0,D202*F202)</f>
      </c>
      <c r="I202" s="147" t="s">
        <v>50</v>
      </c>
      <c r="J202" s="147" t="s">
        <v>184</v>
      </c>
      <c r="K202" s="147"/>
      <c r="L202" s="1"/>
      <c r="M202" s="1"/>
      <c r="N202" s="3"/>
    </row>
    <row x14ac:dyDescent="0.25" r="203" customHeight="1" ht="18.75" hidden="1">
      <c r="A203" s="65" t="s">
        <v>159</v>
      </c>
      <c r="B203" s="155" t="s">
        <v>243</v>
      </c>
      <c r="C203" s="160">
        <f>VLOOKUP(B203,CONFIGURAÇÃO!H:I,2,FALSE)</f>
      </c>
      <c r="D203" s="66">
        <v>2</v>
      </c>
      <c r="E203" s="147" t="s">
        <v>72</v>
      </c>
      <c r="F203" s="96">
        <f>VLOOKUP(E203,CONFIGURAÇÃO!E:F,2,0)</f>
      </c>
      <c r="G203" s="147" t="s">
        <v>13</v>
      </c>
      <c r="H203" s="96">
        <f>IF(G203="CORTESIA",0,D203*F203)</f>
      </c>
      <c r="I203" s="147" t="s">
        <v>59</v>
      </c>
      <c r="J203" s="149" t="s">
        <v>184</v>
      </c>
      <c r="K203" s="147"/>
      <c r="L203" s="1"/>
      <c r="M203" s="1"/>
      <c r="N203" s="3"/>
    </row>
    <row x14ac:dyDescent="0.25" r="204" customHeight="1" ht="18.75" hidden="1">
      <c r="A204" s="67">
        <v>45750</v>
      </c>
      <c r="B204" s="154" t="s">
        <v>102</v>
      </c>
      <c r="C204" s="160">
        <f>VLOOKUP(B204,CONFIGURAÇÃO!H:I,2,FALSE)</f>
      </c>
      <c r="D204" s="148">
        <v>1</v>
      </c>
      <c r="E204" s="149" t="s">
        <v>78</v>
      </c>
      <c r="F204" s="96">
        <f>VLOOKUP(E204,CONFIGURAÇÃO!E:F,2,0)</f>
      </c>
      <c r="G204" s="147" t="s">
        <v>13</v>
      </c>
      <c r="H204" s="96">
        <f>IF(G204="CORTESIA",0,D204*F204)</f>
      </c>
      <c r="I204" s="147" t="s">
        <v>22</v>
      </c>
      <c r="J204" s="149" t="s">
        <v>184</v>
      </c>
      <c r="K204" s="147"/>
      <c r="L204" s="1"/>
      <c r="M204" s="1"/>
      <c r="N204" s="3"/>
    </row>
    <row x14ac:dyDescent="0.25" r="205" customHeight="1" ht="18.75" hidden="1">
      <c r="A205" s="67" t="s">
        <v>164</v>
      </c>
      <c r="B205" s="154" t="s">
        <v>102</v>
      </c>
      <c r="C205" s="160">
        <f>VLOOKUP(B205,CONFIGURAÇÃO!H:I,2,FALSE)</f>
      </c>
      <c r="D205" s="148">
        <v>1</v>
      </c>
      <c r="E205" s="149" t="s">
        <v>183</v>
      </c>
      <c r="F205" s="96">
        <f>VLOOKUP(E205,CONFIGURAÇÃO!E:F,2,0)</f>
      </c>
      <c r="G205" s="147" t="s">
        <v>13</v>
      </c>
      <c r="H205" s="96">
        <f>IF(G205="CORTESIA",0,D205*F205)</f>
      </c>
      <c r="I205" s="147" t="s">
        <v>22</v>
      </c>
      <c r="J205" s="149" t="s">
        <v>184</v>
      </c>
      <c r="K205" s="147"/>
      <c r="L205" s="1"/>
      <c r="M205" s="1"/>
      <c r="N205" s="3"/>
    </row>
    <row x14ac:dyDescent="0.25" r="206" customHeight="1" ht="18.75" hidden="1">
      <c r="A206" s="67" t="s">
        <v>175</v>
      </c>
      <c r="B206" s="154" t="s">
        <v>244</v>
      </c>
      <c r="C206" s="160">
        <f>VLOOKUP(B206,CONFIGURAÇÃO!H:I,2,FALSE)</f>
      </c>
      <c r="D206" s="148">
        <v>1</v>
      </c>
      <c r="E206" s="149" t="s">
        <v>72</v>
      </c>
      <c r="F206" s="96">
        <f>VLOOKUP(E206,CONFIGURAÇÃO!E:F,2,0)</f>
      </c>
      <c r="G206" s="147" t="s">
        <v>73</v>
      </c>
      <c r="H206" s="96">
        <f>IF(G206="CORTESIA",0,D206*F206)</f>
      </c>
      <c r="I206" s="147" t="s">
        <v>50</v>
      </c>
      <c r="J206" s="149" t="s">
        <v>184</v>
      </c>
      <c r="K206" s="147"/>
      <c r="L206" s="1"/>
      <c r="M206" s="1"/>
      <c r="N206" s="3"/>
    </row>
    <row x14ac:dyDescent="0.25" r="207" customHeight="1" ht="18.75" hidden="1">
      <c r="A207" s="65" t="s">
        <v>188</v>
      </c>
      <c r="B207" s="155" t="s">
        <v>244</v>
      </c>
      <c r="C207" s="160">
        <f>VLOOKUP(B207,CONFIGURAÇÃO!H:I,2,FALSE)</f>
      </c>
      <c r="D207" s="66">
        <v>1</v>
      </c>
      <c r="E207" s="147" t="s">
        <v>78</v>
      </c>
      <c r="F207" s="96">
        <f>VLOOKUP(E207,CONFIGURAÇÃO!E:F,2,0)</f>
      </c>
      <c r="G207" s="147" t="s">
        <v>13</v>
      </c>
      <c r="H207" s="96">
        <f>IF(G207="CORTESIA",0,D207*F207)</f>
      </c>
      <c r="I207" s="147" t="s">
        <v>19</v>
      </c>
      <c r="J207" s="149" t="s">
        <v>184</v>
      </c>
      <c r="K207" s="147"/>
      <c r="L207" s="1"/>
      <c r="M207" s="1"/>
      <c r="N207" s="3"/>
    </row>
    <row x14ac:dyDescent="0.25" r="208" customHeight="1" ht="18.75" hidden="1">
      <c r="A208" s="65" t="s">
        <v>159</v>
      </c>
      <c r="B208" s="155" t="s">
        <v>244</v>
      </c>
      <c r="C208" s="160">
        <f>VLOOKUP(B208,CONFIGURAÇÃO!H:I,2,FALSE)</f>
      </c>
      <c r="D208" s="66">
        <v>1</v>
      </c>
      <c r="E208" s="147" t="s">
        <v>72</v>
      </c>
      <c r="F208" s="96">
        <f>VLOOKUP(E208,CONFIGURAÇÃO!E:F,2,0)</f>
      </c>
      <c r="G208" s="147" t="s">
        <v>13</v>
      </c>
      <c r="H208" s="96">
        <f>IF(G208="CORTESIA",0,D208*F208)</f>
      </c>
      <c r="I208" s="147" t="s">
        <v>19</v>
      </c>
      <c r="J208" s="149" t="s">
        <v>184</v>
      </c>
      <c r="K208" s="147"/>
      <c r="L208" s="1"/>
      <c r="M208" s="1"/>
      <c r="N208" s="3"/>
    </row>
    <row x14ac:dyDescent="0.25" r="209" customHeight="1" ht="18.75" hidden="1">
      <c r="A209" s="67" t="s">
        <v>189</v>
      </c>
      <c r="B209" s="154" t="s">
        <v>244</v>
      </c>
      <c r="C209" s="160">
        <f>VLOOKUP(B209,CONFIGURAÇÃO!H:I,2,FALSE)</f>
      </c>
      <c r="D209" s="148">
        <v>1</v>
      </c>
      <c r="E209" s="149" t="s">
        <v>72</v>
      </c>
      <c r="F209" s="96">
        <f>VLOOKUP(E209,CONFIGURAÇÃO!E:F,2,0)</f>
      </c>
      <c r="G209" s="147" t="s">
        <v>13</v>
      </c>
      <c r="H209" s="96">
        <f>IF(G209="CORTESIA",0,D209*F209)</f>
      </c>
      <c r="I209" s="147" t="s">
        <v>19</v>
      </c>
      <c r="J209" s="149" t="s">
        <v>74</v>
      </c>
      <c r="K209" s="147"/>
      <c r="L209" s="1"/>
      <c r="M209" s="1"/>
      <c r="N209" s="3"/>
    </row>
    <row x14ac:dyDescent="0.25" r="210" customHeight="1" ht="18.75" hidden="1">
      <c r="A210" s="67" t="s">
        <v>175</v>
      </c>
      <c r="B210" s="154" t="s">
        <v>245</v>
      </c>
      <c r="C210" s="160">
        <f>VLOOKUP(B210,CONFIGURAÇÃO!H:I,2,FALSE)</f>
      </c>
      <c r="D210" s="148">
        <v>1</v>
      </c>
      <c r="E210" s="149" t="s">
        <v>72</v>
      </c>
      <c r="F210" s="96">
        <f>VLOOKUP(E210,CONFIGURAÇÃO!E:F,2,0)</f>
      </c>
      <c r="G210" s="147" t="s">
        <v>73</v>
      </c>
      <c r="H210" s="96">
        <f>IF(G210="CORTESIA",0,D210*F210)</f>
      </c>
      <c r="I210" s="147" t="s">
        <v>50</v>
      </c>
      <c r="J210" s="149" t="s">
        <v>184</v>
      </c>
      <c r="K210" s="147"/>
      <c r="L210" s="1"/>
      <c r="M210" s="1"/>
      <c r="N210" s="3"/>
    </row>
    <row x14ac:dyDescent="0.25" r="211" customHeight="1" ht="18.75" hidden="1">
      <c r="A211" s="67">
        <v>45740</v>
      </c>
      <c r="B211" s="154" t="s">
        <v>246</v>
      </c>
      <c r="C211" s="160">
        <f>VLOOKUP(B211,CONFIGURAÇÃO!H:I,2,FALSE)</f>
      </c>
      <c r="D211" s="148">
        <v>1</v>
      </c>
      <c r="E211" s="149" t="s">
        <v>72</v>
      </c>
      <c r="F211" s="96">
        <f>VLOOKUP(E211,CONFIGURAÇÃO!E:F,2,0)</f>
      </c>
      <c r="G211" s="147" t="s">
        <v>73</v>
      </c>
      <c r="H211" s="96">
        <f>IF(G211="CORTESIA",0,D211*F211)</f>
      </c>
      <c r="I211" s="147" t="s">
        <v>50</v>
      </c>
      <c r="J211" s="149" t="s">
        <v>184</v>
      </c>
      <c r="K211" s="147"/>
      <c r="L211" s="1"/>
      <c r="M211" s="1"/>
      <c r="N211" s="3"/>
    </row>
    <row x14ac:dyDescent="0.25" r="212" customHeight="1" ht="18.75" hidden="1">
      <c r="A212" s="65" t="s">
        <v>162</v>
      </c>
      <c r="B212" s="155" t="s">
        <v>246</v>
      </c>
      <c r="C212" s="160">
        <f>VLOOKUP(B212,CONFIGURAÇÃO!H:I,2,FALSE)</f>
      </c>
      <c r="D212" s="66">
        <v>1</v>
      </c>
      <c r="E212" s="147" t="s">
        <v>72</v>
      </c>
      <c r="F212" s="96">
        <f>VLOOKUP(E212,CONFIGURAÇÃO!E:F,2,0)</f>
      </c>
      <c r="G212" s="147" t="s">
        <v>73</v>
      </c>
      <c r="H212" s="96">
        <f>IF(G212="CORTESIA",0,D212*F212)</f>
      </c>
      <c r="I212" s="147" t="s">
        <v>50</v>
      </c>
      <c r="J212" s="149" t="s">
        <v>184</v>
      </c>
      <c r="K212" s="147"/>
      <c r="L212" s="1"/>
      <c r="M212" s="1"/>
      <c r="N212" s="3"/>
    </row>
    <row x14ac:dyDescent="0.25" r="213" customHeight="1" ht="18.75" hidden="1">
      <c r="A213" s="65" t="s">
        <v>164</v>
      </c>
      <c r="B213" s="155" t="s">
        <v>247</v>
      </c>
      <c r="C213" s="160">
        <f>VLOOKUP(B213,CONFIGURAÇÃO!H:I,2,FALSE)</f>
      </c>
      <c r="D213" s="66">
        <v>2</v>
      </c>
      <c r="E213" s="147" t="s">
        <v>183</v>
      </c>
      <c r="F213" s="96">
        <f>VLOOKUP(E213,CONFIGURAÇÃO!E:F,2,0)</f>
      </c>
      <c r="G213" s="147" t="s">
        <v>13</v>
      </c>
      <c r="H213" s="96">
        <f>IF(G213="CORTESIA",0,D213*F213)</f>
      </c>
      <c r="I213" s="147" t="s">
        <v>50</v>
      </c>
      <c r="J213" s="149" t="s">
        <v>184</v>
      </c>
      <c r="K213" s="147"/>
      <c r="L213" s="1"/>
      <c r="M213" s="1"/>
      <c r="N213" s="3"/>
    </row>
    <row x14ac:dyDescent="0.25" r="214" customHeight="1" ht="18.75" hidden="1">
      <c r="A214" s="65" t="s">
        <v>228</v>
      </c>
      <c r="B214" s="155" t="s">
        <v>248</v>
      </c>
      <c r="C214" s="160">
        <f>VLOOKUP(B214,CONFIGURAÇÃO!H:I,2,FALSE)</f>
      </c>
      <c r="D214" s="66">
        <v>1</v>
      </c>
      <c r="E214" s="147" t="s">
        <v>72</v>
      </c>
      <c r="F214" s="96">
        <f>VLOOKUP(E214,CONFIGURAÇÃO!E:F,2,0)</f>
      </c>
      <c r="G214" s="147" t="s">
        <v>13</v>
      </c>
      <c r="H214" s="96">
        <f>IF(G214="CORTESIA",0,D214*F214)</f>
      </c>
      <c r="I214" s="147" t="s">
        <v>19</v>
      </c>
      <c r="J214" s="149" t="s">
        <v>184</v>
      </c>
      <c r="K214" s="147"/>
      <c r="L214" s="1"/>
      <c r="M214" s="1"/>
      <c r="N214" s="3"/>
    </row>
    <row x14ac:dyDescent="0.25" r="215" customHeight="1" ht="18.75" hidden="1">
      <c r="A215" s="65" t="s">
        <v>228</v>
      </c>
      <c r="B215" s="155" t="s">
        <v>249</v>
      </c>
      <c r="C215" s="160">
        <f>VLOOKUP(B215,CONFIGURAÇÃO!H:I,2,FALSE)</f>
      </c>
      <c r="D215" s="66">
        <v>1</v>
      </c>
      <c r="E215" s="147" t="s">
        <v>72</v>
      </c>
      <c r="F215" s="96">
        <f>VLOOKUP(E215,CONFIGURAÇÃO!E:F,2,0)</f>
      </c>
      <c r="G215" s="147" t="s">
        <v>13</v>
      </c>
      <c r="H215" s="96">
        <f>IF(G215="CORTESIA",0,D215*F215)</f>
      </c>
      <c r="I215" s="147" t="s">
        <v>19</v>
      </c>
      <c r="J215" s="149" t="s">
        <v>184</v>
      </c>
      <c r="K215" s="147"/>
      <c r="L215" s="1"/>
      <c r="M215" s="1"/>
      <c r="N215" s="3"/>
    </row>
    <row x14ac:dyDescent="0.25" r="216" customHeight="1" ht="18.75" hidden="1">
      <c r="A216" s="67" t="s">
        <v>162</v>
      </c>
      <c r="B216" s="154" t="s">
        <v>249</v>
      </c>
      <c r="C216" s="160">
        <f>VLOOKUP(B216,CONFIGURAÇÃO!H:I,2,FALSE)</f>
      </c>
      <c r="D216" s="148">
        <v>1</v>
      </c>
      <c r="E216" s="149" t="s">
        <v>183</v>
      </c>
      <c r="F216" s="96">
        <f>VLOOKUP(E216,CONFIGURAÇÃO!E:F,2,0)</f>
      </c>
      <c r="G216" s="147" t="s">
        <v>13</v>
      </c>
      <c r="H216" s="96">
        <f>IF(G216="CORTESIA",0,D216*F216)</f>
      </c>
      <c r="I216" s="147" t="s">
        <v>19</v>
      </c>
      <c r="J216" s="149" t="s">
        <v>184</v>
      </c>
      <c r="K216" s="147"/>
      <c r="L216" s="1"/>
      <c r="M216" s="1"/>
      <c r="N216" s="3"/>
    </row>
    <row x14ac:dyDescent="0.25" r="217" customHeight="1" ht="18.75" hidden="1">
      <c r="A217" s="67" t="s">
        <v>178</v>
      </c>
      <c r="B217" s="154" t="s">
        <v>250</v>
      </c>
      <c r="C217" s="160">
        <f>VLOOKUP(B217,CONFIGURAÇÃO!H:I,2,FALSE)</f>
      </c>
      <c r="D217" s="148">
        <v>1</v>
      </c>
      <c r="E217" s="149" t="s">
        <v>72</v>
      </c>
      <c r="F217" s="96">
        <f>VLOOKUP(E217,CONFIGURAÇÃO!E:F,2,0)</f>
      </c>
      <c r="G217" s="147" t="s">
        <v>73</v>
      </c>
      <c r="H217" s="96">
        <f>IF(G217="CORTESIA",0,D217*F217)</f>
      </c>
      <c r="I217" s="147" t="s">
        <v>50</v>
      </c>
      <c r="J217" s="149" t="s">
        <v>184</v>
      </c>
      <c r="K217" s="147"/>
      <c r="L217" s="1"/>
      <c r="M217" s="1"/>
      <c r="N217" s="3"/>
    </row>
    <row x14ac:dyDescent="0.25" r="218" customHeight="1" ht="18.75" hidden="1">
      <c r="A218" s="67">
        <v>45748</v>
      </c>
      <c r="B218" s="154" t="s">
        <v>251</v>
      </c>
      <c r="C218" s="160">
        <f>VLOOKUP(B218,CONFIGURAÇÃO!H:I,2,FALSE)</f>
      </c>
      <c r="D218" s="148">
        <v>1</v>
      </c>
      <c r="E218" s="149" t="s">
        <v>72</v>
      </c>
      <c r="F218" s="96">
        <f>VLOOKUP(E218,CONFIGURAÇÃO!E:F,2,0)</f>
      </c>
      <c r="G218" s="147" t="s">
        <v>13</v>
      </c>
      <c r="H218" s="96">
        <f>IF(G218="CORTESIA",0,D218*F218)</f>
      </c>
      <c r="I218" s="147" t="s">
        <v>19</v>
      </c>
      <c r="J218" s="149" t="s">
        <v>184</v>
      </c>
      <c r="K218" s="147"/>
      <c r="L218" s="1"/>
      <c r="M218" s="1"/>
      <c r="N218" s="3"/>
    </row>
    <row x14ac:dyDescent="0.25" r="219" customHeight="1" ht="18.75" hidden="1">
      <c r="A219" s="67">
        <v>45749</v>
      </c>
      <c r="B219" s="154" t="s">
        <v>251</v>
      </c>
      <c r="C219" s="160">
        <f>VLOOKUP(B219,CONFIGURAÇÃO!H:I,2,FALSE)</f>
      </c>
      <c r="D219" s="148">
        <v>2</v>
      </c>
      <c r="E219" s="149" t="s">
        <v>183</v>
      </c>
      <c r="F219" s="96">
        <f>VLOOKUP(E219,CONFIGURAÇÃO!E:F,2,0)</f>
      </c>
      <c r="G219" s="147" t="s">
        <v>13</v>
      </c>
      <c r="H219" s="96">
        <f>IF(G219="CORTESIA",0,D219*F219)</f>
      </c>
      <c r="I219" s="147" t="s">
        <v>50</v>
      </c>
      <c r="J219" s="149" t="s">
        <v>184</v>
      </c>
      <c r="K219" s="147"/>
      <c r="L219" s="1"/>
      <c r="M219" s="1"/>
      <c r="N219" s="3"/>
    </row>
    <row x14ac:dyDescent="0.25" r="220" customHeight="1" ht="18.75" hidden="1">
      <c r="A220" s="67" t="s">
        <v>198</v>
      </c>
      <c r="B220" s="154" t="s">
        <v>251</v>
      </c>
      <c r="C220" s="160">
        <f>VLOOKUP(B220,CONFIGURAÇÃO!H:I,2,FALSE)</f>
      </c>
      <c r="D220" s="148">
        <v>4</v>
      </c>
      <c r="E220" s="149" t="s">
        <v>183</v>
      </c>
      <c r="F220" s="96">
        <f>VLOOKUP(E220,CONFIGURAÇÃO!E:F,2,0)</f>
      </c>
      <c r="G220" s="147" t="s">
        <v>13</v>
      </c>
      <c r="H220" s="96">
        <f>IF(G220="CORTESIA",0,D220*F220)</f>
      </c>
      <c r="I220" s="147" t="s">
        <v>50</v>
      </c>
      <c r="J220" s="149" t="s">
        <v>184</v>
      </c>
      <c r="K220" s="147"/>
      <c r="L220" s="1"/>
      <c r="M220" s="1"/>
      <c r="N220" s="3"/>
    </row>
    <row x14ac:dyDescent="0.25" r="221" customHeight="1" ht="18.75" hidden="1">
      <c r="A221" s="67" t="s">
        <v>175</v>
      </c>
      <c r="B221" s="154" t="s">
        <v>251</v>
      </c>
      <c r="C221" s="160">
        <f>VLOOKUP(B221,CONFIGURAÇÃO!H:I,2,FALSE)</f>
      </c>
      <c r="D221" s="148">
        <v>1</v>
      </c>
      <c r="E221" s="149" t="s">
        <v>72</v>
      </c>
      <c r="F221" s="96">
        <f>VLOOKUP(E221,CONFIGURAÇÃO!E:F,2,0)</f>
      </c>
      <c r="G221" s="147" t="s">
        <v>13</v>
      </c>
      <c r="H221" s="96">
        <f>IF(G221="CORTESIA",0,D221*F221)</f>
      </c>
      <c r="I221" s="147" t="s">
        <v>50</v>
      </c>
      <c r="J221" s="149" t="s">
        <v>184</v>
      </c>
      <c r="K221" s="147"/>
      <c r="L221" s="1"/>
      <c r="M221" s="1"/>
      <c r="N221" s="3"/>
    </row>
    <row x14ac:dyDescent="0.25" r="222" customHeight="1" ht="18.75" hidden="1">
      <c r="A222" s="65" t="s">
        <v>177</v>
      </c>
      <c r="B222" s="155" t="s">
        <v>251</v>
      </c>
      <c r="C222" s="160">
        <f>VLOOKUP(B222,CONFIGURAÇÃO!H:I,2,FALSE)</f>
      </c>
      <c r="D222" s="66">
        <v>1</v>
      </c>
      <c r="E222" s="147" t="s">
        <v>78</v>
      </c>
      <c r="F222" s="96">
        <f>VLOOKUP(E222,CONFIGURAÇÃO!E:F,2,0)</f>
      </c>
      <c r="G222" s="147" t="s">
        <v>13</v>
      </c>
      <c r="H222" s="96">
        <f>IF(G222="CORTESIA",0,D222*F222)</f>
      </c>
      <c r="I222" s="147" t="s">
        <v>19</v>
      </c>
      <c r="J222" s="149" t="s">
        <v>184</v>
      </c>
      <c r="K222" s="147"/>
      <c r="L222" s="1"/>
      <c r="M222" s="1"/>
      <c r="N222" s="3"/>
    </row>
    <row x14ac:dyDescent="0.25" r="223" customHeight="1" ht="18.75" hidden="1">
      <c r="A223" s="65" t="s">
        <v>177</v>
      </c>
      <c r="B223" s="155" t="s">
        <v>251</v>
      </c>
      <c r="C223" s="160">
        <f>VLOOKUP(B223,CONFIGURAÇÃO!H:I,2,FALSE)</f>
      </c>
      <c r="D223" s="66">
        <v>1</v>
      </c>
      <c r="E223" s="147" t="s">
        <v>183</v>
      </c>
      <c r="F223" s="96">
        <f>VLOOKUP(E223,CONFIGURAÇÃO!E:F,2,0)</f>
      </c>
      <c r="G223" s="147" t="s">
        <v>13</v>
      </c>
      <c r="H223" s="96">
        <f>IF(G223="CORTESIA",0,D223*F223)</f>
      </c>
      <c r="I223" s="147" t="s">
        <v>19</v>
      </c>
      <c r="J223" s="149" t="s">
        <v>184</v>
      </c>
      <c r="K223" s="147"/>
      <c r="L223" s="1"/>
      <c r="M223" s="1"/>
      <c r="N223" s="3"/>
    </row>
    <row x14ac:dyDescent="0.25" r="224" customHeight="1" ht="18.75" hidden="1">
      <c r="A224" s="65" t="s">
        <v>188</v>
      </c>
      <c r="B224" s="155" t="s">
        <v>251</v>
      </c>
      <c r="C224" s="160">
        <f>VLOOKUP(B224,CONFIGURAÇÃO!H:I,2,FALSE)</f>
      </c>
      <c r="D224" s="66">
        <v>1</v>
      </c>
      <c r="E224" s="147" t="s">
        <v>78</v>
      </c>
      <c r="F224" s="96">
        <f>VLOOKUP(E224,CONFIGURAÇÃO!E:F,2,0)</f>
      </c>
      <c r="G224" s="147" t="s">
        <v>13</v>
      </c>
      <c r="H224" s="96">
        <f>IF(G224="CORTESIA",0,D224*F224)</f>
      </c>
      <c r="I224" s="147" t="s">
        <v>19</v>
      </c>
      <c r="J224" s="149" t="s">
        <v>184</v>
      </c>
      <c r="K224" s="147"/>
      <c r="L224" s="1"/>
      <c r="M224" s="1"/>
      <c r="N224" s="3"/>
    </row>
    <row x14ac:dyDescent="0.25" r="225" customHeight="1" ht="18.75" hidden="1">
      <c r="A225" s="65" t="s">
        <v>160</v>
      </c>
      <c r="B225" s="161" t="s">
        <v>251</v>
      </c>
      <c r="C225" s="160">
        <f>VLOOKUP(B225,CONFIGURAÇÃO!H:I,2,FALSE)</f>
      </c>
      <c r="D225" s="66">
        <v>1</v>
      </c>
      <c r="E225" s="147" t="s">
        <v>183</v>
      </c>
      <c r="F225" s="96">
        <f>VLOOKUP(E225,CONFIGURAÇÃO!E:F,2,0)</f>
      </c>
      <c r="G225" s="147" t="s">
        <v>13</v>
      </c>
      <c r="H225" s="96">
        <f>IF(G225="CORTESIA",0,D225*F225)</f>
      </c>
      <c r="I225" s="147" t="s">
        <v>19</v>
      </c>
      <c r="J225" s="149" t="s">
        <v>184</v>
      </c>
      <c r="K225" s="147"/>
      <c r="L225" s="1"/>
      <c r="M225" s="1"/>
      <c r="N225" s="3"/>
    </row>
    <row x14ac:dyDescent="0.25" r="226" customHeight="1" ht="18.75" hidden="1">
      <c r="A226" s="67" t="s">
        <v>160</v>
      </c>
      <c r="B226" s="154" t="s">
        <v>251</v>
      </c>
      <c r="C226" s="160">
        <f>VLOOKUP(B226,CONFIGURAÇÃO!H:I,2,FALSE)</f>
      </c>
      <c r="D226" s="148">
        <v>1</v>
      </c>
      <c r="E226" s="149" t="s">
        <v>183</v>
      </c>
      <c r="F226" s="96">
        <f>VLOOKUP(E226,CONFIGURAÇÃO!E:F,2,0)</f>
      </c>
      <c r="G226" s="147" t="s">
        <v>13</v>
      </c>
      <c r="H226" s="96">
        <f>IF(G226="CORTESIA",0,D226*F226)</f>
      </c>
      <c r="I226" s="147" t="s">
        <v>50</v>
      </c>
      <c r="J226" s="149" t="s">
        <v>184</v>
      </c>
      <c r="K226" s="147"/>
      <c r="L226" s="1"/>
      <c r="M226" s="1"/>
      <c r="N226" s="3"/>
    </row>
    <row x14ac:dyDescent="0.25" r="227" customHeight="1" ht="18.75" hidden="1">
      <c r="A227" s="65" t="s">
        <v>228</v>
      </c>
      <c r="B227" s="155" t="s">
        <v>251</v>
      </c>
      <c r="C227" s="160">
        <f>VLOOKUP(B227,CONFIGURAÇÃO!H:I,2,FALSE)</f>
      </c>
      <c r="D227" s="66">
        <v>2</v>
      </c>
      <c r="E227" s="147" t="s">
        <v>72</v>
      </c>
      <c r="F227" s="96">
        <f>VLOOKUP(E227,CONFIGURAÇÃO!E:F,2,0)</f>
      </c>
      <c r="G227" s="147" t="s">
        <v>13</v>
      </c>
      <c r="H227" s="96">
        <f>IF(G227="CORTESIA",0,D227*F227)</f>
      </c>
      <c r="I227" s="147" t="s">
        <v>19</v>
      </c>
      <c r="J227" s="149" t="s">
        <v>184</v>
      </c>
      <c r="K227" s="147"/>
      <c r="L227" s="1"/>
      <c r="M227" s="1"/>
      <c r="N227" s="3"/>
    </row>
    <row x14ac:dyDescent="0.25" r="228" customHeight="1" ht="18.75" hidden="1">
      <c r="A228" s="67" t="s">
        <v>205</v>
      </c>
      <c r="B228" s="154" t="s">
        <v>251</v>
      </c>
      <c r="C228" s="160">
        <f>VLOOKUP(B228,CONFIGURAÇÃO!H:I,2,FALSE)</f>
      </c>
      <c r="D228" s="148">
        <v>1</v>
      </c>
      <c r="E228" s="149" t="s">
        <v>72</v>
      </c>
      <c r="F228" s="96">
        <f>VLOOKUP(E228,CONFIGURAÇÃO!E:F,2,0)</f>
      </c>
      <c r="G228" s="147" t="s">
        <v>13</v>
      </c>
      <c r="H228" s="96">
        <f>IF(G228="CORTESIA",0,D228*F228)</f>
      </c>
      <c r="I228" s="147" t="s">
        <v>19</v>
      </c>
      <c r="J228" s="149" t="s">
        <v>184</v>
      </c>
      <c r="K228" s="147"/>
      <c r="L228" s="1"/>
      <c r="M228" s="1"/>
      <c r="N228" s="3"/>
    </row>
    <row x14ac:dyDescent="0.25" r="229" customHeight="1" ht="18.75" hidden="1">
      <c r="A229" s="67" t="s">
        <v>205</v>
      </c>
      <c r="B229" s="154" t="s">
        <v>251</v>
      </c>
      <c r="C229" s="160">
        <f>VLOOKUP(B229,CONFIGURAÇÃO!H:I,2,FALSE)</f>
      </c>
      <c r="D229" s="148">
        <v>1</v>
      </c>
      <c r="E229" s="149" t="s">
        <v>78</v>
      </c>
      <c r="F229" s="96">
        <f>VLOOKUP(E229,CONFIGURAÇÃO!E:F,2,0)</f>
      </c>
      <c r="G229" s="147" t="s">
        <v>13</v>
      </c>
      <c r="H229" s="96">
        <f>IF(G229="CORTESIA",0,D229*F229)</f>
      </c>
      <c r="I229" s="147" t="s">
        <v>19</v>
      </c>
      <c r="J229" s="149" t="s">
        <v>184</v>
      </c>
      <c r="K229" s="147"/>
      <c r="L229" s="1"/>
      <c r="M229" s="1"/>
      <c r="N229" s="3"/>
    </row>
    <row x14ac:dyDescent="0.25" r="230" customHeight="1" ht="18.75" hidden="1">
      <c r="A230" s="67" t="s">
        <v>164</v>
      </c>
      <c r="B230" s="154" t="s">
        <v>251</v>
      </c>
      <c r="C230" s="160">
        <f>VLOOKUP(B230,CONFIGURAÇÃO!H:I,2,FALSE)</f>
      </c>
      <c r="D230" s="148">
        <v>2</v>
      </c>
      <c r="E230" s="149" t="s">
        <v>183</v>
      </c>
      <c r="F230" s="96">
        <f>VLOOKUP(E230,CONFIGURAÇÃO!E:F,2,0)</f>
      </c>
      <c r="G230" s="147" t="s">
        <v>13</v>
      </c>
      <c r="H230" s="96">
        <f>IF(G230="CORTESIA",0,D230*F230)</f>
      </c>
      <c r="I230" s="147" t="s">
        <v>19</v>
      </c>
      <c r="J230" s="149" t="s">
        <v>184</v>
      </c>
      <c r="K230" s="147"/>
      <c r="L230" s="1"/>
      <c r="M230" s="1"/>
      <c r="N230" s="3"/>
    </row>
    <row x14ac:dyDescent="0.25" r="231" customHeight="1" ht="18.75" hidden="1">
      <c r="A231" s="65" t="s">
        <v>164</v>
      </c>
      <c r="B231" s="155" t="s">
        <v>251</v>
      </c>
      <c r="C231" s="160">
        <f>VLOOKUP(B231,CONFIGURAÇÃO!H:I,2,FALSE)</f>
      </c>
      <c r="D231" s="66">
        <v>2</v>
      </c>
      <c r="E231" s="147" t="s">
        <v>183</v>
      </c>
      <c r="F231" s="96">
        <v>12</v>
      </c>
      <c r="G231" s="147" t="s">
        <v>13</v>
      </c>
      <c r="H231" s="96">
        <v>24</v>
      </c>
      <c r="I231" s="147" t="s">
        <v>50</v>
      </c>
      <c r="J231" s="149" t="s">
        <v>184</v>
      </c>
      <c r="K231" s="147"/>
      <c r="L231" s="1"/>
      <c r="M231" s="1"/>
      <c r="N231" s="3"/>
    </row>
    <row x14ac:dyDescent="0.25" r="232" customHeight="1" ht="18.75" hidden="1">
      <c r="A232" s="65" t="s">
        <v>189</v>
      </c>
      <c r="B232" s="155" t="s">
        <v>251</v>
      </c>
      <c r="C232" s="160">
        <f>VLOOKUP(B232,CONFIGURAÇÃO!H:I,2,FALSE)</f>
      </c>
      <c r="D232" s="66">
        <v>1</v>
      </c>
      <c r="E232" s="147" t="s">
        <v>72</v>
      </c>
      <c r="F232" s="96">
        <f>VLOOKUP(E232,CONFIGURAÇÃO!E:F,2,0)</f>
      </c>
      <c r="G232" s="147" t="s">
        <v>13</v>
      </c>
      <c r="H232" s="96">
        <f>IF(G232="CORTESIA",0,D232*F232)</f>
      </c>
      <c r="I232" s="147" t="s">
        <v>50</v>
      </c>
      <c r="J232" s="147"/>
      <c r="K232" s="147"/>
      <c r="L232" s="1"/>
      <c r="M232" s="1"/>
      <c r="N232" s="3"/>
    </row>
    <row x14ac:dyDescent="0.25" r="233" customHeight="1" ht="18.75" hidden="1">
      <c r="A233" s="65" t="s">
        <v>189</v>
      </c>
      <c r="B233" s="155" t="s">
        <v>251</v>
      </c>
      <c r="C233" s="160">
        <f>VLOOKUP(B233,CONFIGURAÇÃO!H:I,2,FALSE)</f>
      </c>
      <c r="D233" s="66">
        <v>1</v>
      </c>
      <c r="E233" s="147" t="s">
        <v>78</v>
      </c>
      <c r="F233" s="96">
        <f>VLOOKUP(E233,CONFIGURAÇÃO!E:F,2,0)</f>
      </c>
      <c r="G233" s="147" t="s">
        <v>13</v>
      </c>
      <c r="H233" s="96">
        <f>IF(G233="CORTESIA",0,D233*F233)</f>
      </c>
      <c r="I233" s="147" t="s">
        <v>50</v>
      </c>
      <c r="J233" s="147"/>
      <c r="K233" s="147"/>
      <c r="L233" s="1"/>
      <c r="M233" s="1"/>
      <c r="N233" s="3"/>
    </row>
    <row x14ac:dyDescent="0.25" r="234" customHeight="1" ht="18.75" hidden="1">
      <c r="A234" s="65" t="s">
        <v>160</v>
      </c>
      <c r="B234" s="155" t="s">
        <v>252</v>
      </c>
      <c r="C234" s="160">
        <f>VLOOKUP(B234,CONFIGURAÇÃO!H:I,2,FALSE)</f>
      </c>
      <c r="D234" s="66">
        <v>1</v>
      </c>
      <c r="E234" s="147" t="s">
        <v>183</v>
      </c>
      <c r="F234" s="96">
        <f>VLOOKUP(E234,CONFIGURAÇÃO!E:F,2,0)</f>
      </c>
      <c r="G234" s="147" t="s">
        <v>13</v>
      </c>
      <c r="H234" s="96">
        <f>IF(G234="CORTESIA",0,D234*F234)</f>
      </c>
      <c r="I234" s="147" t="s">
        <v>19</v>
      </c>
      <c r="J234" s="149" t="s">
        <v>184</v>
      </c>
      <c r="K234" s="147"/>
      <c r="L234" s="1"/>
      <c r="M234" s="1"/>
      <c r="N234" s="3"/>
    </row>
    <row x14ac:dyDescent="0.25" r="235" customHeight="1" ht="18.75" hidden="1">
      <c r="A235" s="65" t="s">
        <v>205</v>
      </c>
      <c r="B235" s="155" t="s">
        <v>253</v>
      </c>
      <c r="C235" s="160">
        <f>VLOOKUP(B235,CONFIGURAÇÃO!H:I,2,FALSE)</f>
      </c>
      <c r="D235" s="66">
        <v>2</v>
      </c>
      <c r="E235" s="147" t="s">
        <v>254</v>
      </c>
      <c r="F235" s="96">
        <f>VLOOKUP(E235,CONFIGURAÇÃO!E:F,2,0)</f>
      </c>
      <c r="G235" s="147" t="s">
        <v>13</v>
      </c>
      <c r="H235" s="96">
        <f>IF(G235="CORTESIA",0,D235*F235)</f>
      </c>
      <c r="I235" s="147" t="s">
        <v>22</v>
      </c>
      <c r="J235" s="149" t="s">
        <v>184</v>
      </c>
      <c r="K235" s="147"/>
      <c r="L235" s="1"/>
      <c r="M235" s="1"/>
      <c r="N235" s="3"/>
    </row>
    <row x14ac:dyDescent="0.25" r="236" customHeight="1" ht="18.75" hidden="1">
      <c r="A236" s="65" t="s">
        <v>172</v>
      </c>
      <c r="B236" s="155" t="s">
        <v>255</v>
      </c>
      <c r="C236" s="160">
        <f>VLOOKUP(B236,CONFIGURAÇÃO!H:I,2,FALSE)</f>
      </c>
      <c r="D236" s="66">
        <v>1</v>
      </c>
      <c r="E236" s="147" t="s">
        <v>78</v>
      </c>
      <c r="F236" s="96">
        <f>VLOOKUP(E236,CONFIGURAÇÃO!E:F,2,0)</f>
      </c>
      <c r="G236" s="147" t="s">
        <v>13</v>
      </c>
      <c r="H236" s="96">
        <f>IF(G236="CORTESIA",0,D236*F236)</f>
      </c>
      <c r="I236" s="147" t="s">
        <v>22</v>
      </c>
      <c r="J236" s="149" t="s">
        <v>184</v>
      </c>
      <c r="K236" s="147"/>
      <c r="L236" s="1"/>
      <c r="M236" s="1"/>
      <c r="N236" s="3"/>
    </row>
    <row x14ac:dyDescent="0.25" r="237" customHeight="1" ht="18.75" hidden="1">
      <c r="A237" s="65" t="s">
        <v>159</v>
      </c>
      <c r="B237" s="155" t="s">
        <v>255</v>
      </c>
      <c r="C237" s="160">
        <f>VLOOKUP(B237,CONFIGURAÇÃO!H:I,2,FALSE)</f>
      </c>
      <c r="D237" s="66">
        <v>2</v>
      </c>
      <c r="E237" s="147" t="s">
        <v>72</v>
      </c>
      <c r="F237" s="96">
        <f>VLOOKUP(E237,CONFIGURAÇÃO!E:F,2,0)</f>
      </c>
      <c r="G237" s="147" t="s">
        <v>13</v>
      </c>
      <c r="H237" s="96">
        <f>IF(G237="CORTESIA",0,D237*F237)</f>
      </c>
      <c r="I237" s="147" t="s">
        <v>22</v>
      </c>
      <c r="J237" s="149" t="s">
        <v>184</v>
      </c>
      <c r="K237" s="147"/>
      <c r="L237" s="1"/>
      <c r="M237" s="1"/>
      <c r="N237" s="3"/>
    </row>
    <row x14ac:dyDescent="0.25" r="238" customHeight="1" ht="18.75" hidden="1">
      <c r="A238" s="65" t="s">
        <v>177</v>
      </c>
      <c r="B238" s="155" t="s">
        <v>256</v>
      </c>
      <c r="C238" s="160">
        <f>VLOOKUP(B238,CONFIGURAÇÃO!H:I,2,FALSE)</f>
      </c>
      <c r="D238" s="66">
        <v>2</v>
      </c>
      <c r="E238" s="147" t="s">
        <v>183</v>
      </c>
      <c r="F238" s="96">
        <f>VLOOKUP(E238,CONFIGURAÇÃO!E:F,2,0)</f>
      </c>
      <c r="G238" s="147" t="s">
        <v>13</v>
      </c>
      <c r="H238" s="96">
        <f>IF(G238="CORTESIA",0,D238*F238)</f>
      </c>
      <c r="I238" s="147" t="s">
        <v>19</v>
      </c>
      <c r="J238" s="149" t="s">
        <v>184</v>
      </c>
      <c r="K238" s="147"/>
      <c r="L238" s="1"/>
      <c r="M238" s="1"/>
      <c r="N238" s="3"/>
    </row>
    <row x14ac:dyDescent="0.25" r="239" customHeight="1" ht="18.75" hidden="1">
      <c r="A239" s="65" t="s">
        <v>160</v>
      </c>
      <c r="B239" s="155" t="s">
        <v>256</v>
      </c>
      <c r="C239" s="160">
        <f>VLOOKUP(B239,CONFIGURAÇÃO!H:I,2,FALSE)</f>
      </c>
      <c r="D239" s="66">
        <v>2</v>
      </c>
      <c r="E239" s="147" t="s">
        <v>183</v>
      </c>
      <c r="F239" s="96">
        <f>VLOOKUP(E239,CONFIGURAÇÃO!E:F,2,0)</f>
      </c>
      <c r="G239" s="147" t="s">
        <v>13</v>
      </c>
      <c r="H239" s="96">
        <f>IF(G239="CORTESIA",0,D239*F239)</f>
      </c>
      <c r="I239" s="147" t="s">
        <v>19</v>
      </c>
      <c r="J239" s="149" t="s">
        <v>184</v>
      </c>
      <c r="K239" s="147"/>
      <c r="L239" s="1"/>
      <c r="M239" s="1"/>
      <c r="N239" s="3"/>
    </row>
    <row x14ac:dyDescent="0.25" r="240" customHeight="1" ht="18.75" hidden="1">
      <c r="A240" s="67" t="s">
        <v>163</v>
      </c>
      <c r="B240" s="154" t="s">
        <v>256</v>
      </c>
      <c r="C240" s="160">
        <f>VLOOKUP(B240,CONFIGURAÇÃO!H:I,2,FALSE)</f>
      </c>
      <c r="D240" s="148">
        <v>1</v>
      </c>
      <c r="E240" s="149" t="s">
        <v>183</v>
      </c>
      <c r="F240" s="96">
        <f>VLOOKUP(E240,CONFIGURAÇÃO!E:F,2,0)</f>
      </c>
      <c r="G240" s="147" t="s">
        <v>13</v>
      </c>
      <c r="H240" s="96">
        <f>IF(G240="CORTESIA",0,D240*F240)</f>
      </c>
      <c r="I240" s="147" t="s">
        <v>19</v>
      </c>
      <c r="J240" s="149" t="s">
        <v>184</v>
      </c>
      <c r="K240" s="147"/>
      <c r="L240" s="1"/>
      <c r="M240" s="1"/>
      <c r="N240" s="3"/>
    </row>
    <row x14ac:dyDescent="0.25" r="241" customHeight="1" ht="18.75" hidden="1">
      <c r="A241" s="65" t="s">
        <v>177</v>
      </c>
      <c r="B241" s="155" t="s">
        <v>100</v>
      </c>
      <c r="C241" s="160">
        <f>VLOOKUP(B241,CONFIGURAÇÃO!H:I,2,FALSE)</f>
      </c>
      <c r="D241" s="66">
        <v>1</v>
      </c>
      <c r="E241" s="147" t="s">
        <v>183</v>
      </c>
      <c r="F241" s="96">
        <f>VLOOKUP(E241,CONFIGURAÇÃO!E:F,2,0)</f>
      </c>
      <c r="G241" s="147" t="s">
        <v>13</v>
      </c>
      <c r="H241" s="96">
        <f>IF(G241="CORTESIA",0,D241*F241)</f>
      </c>
      <c r="I241" s="147" t="s">
        <v>22</v>
      </c>
      <c r="J241" s="149" t="s">
        <v>184</v>
      </c>
      <c r="K241" s="147"/>
      <c r="L241" s="1"/>
      <c r="M241" s="1"/>
      <c r="N241" s="3"/>
    </row>
    <row x14ac:dyDescent="0.25" r="242" customHeight="1" ht="18.75" hidden="1">
      <c r="A242" s="65" t="s">
        <v>160</v>
      </c>
      <c r="B242" s="155" t="s">
        <v>257</v>
      </c>
      <c r="C242" s="160">
        <f>VLOOKUP(B242,CONFIGURAÇÃO!H:I,2,FALSE)</f>
      </c>
      <c r="D242" s="66">
        <v>1</v>
      </c>
      <c r="E242" s="147" t="s">
        <v>183</v>
      </c>
      <c r="F242" s="96">
        <f>VLOOKUP(E242,CONFIGURAÇÃO!E:F,2,0)</f>
      </c>
      <c r="G242" s="147" t="s">
        <v>13</v>
      </c>
      <c r="H242" s="96">
        <f>IF(G242="CORTESIA",0,D242*F242)</f>
      </c>
      <c r="I242" s="147" t="s">
        <v>19</v>
      </c>
      <c r="J242" s="149" t="s">
        <v>184</v>
      </c>
      <c r="K242" s="147" t="s">
        <v>223</v>
      </c>
      <c r="L242" s="1"/>
      <c r="M242" s="1"/>
      <c r="N242" s="3"/>
    </row>
    <row x14ac:dyDescent="0.25" r="243" customHeight="1" ht="18.75" hidden="1">
      <c r="A243" s="65" t="s">
        <v>159</v>
      </c>
      <c r="B243" s="155" t="s">
        <v>258</v>
      </c>
      <c r="C243" s="160">
        <f>VLOOKUP(B243,CONFIGURAÇÃO!H:I,2,FALSE)</f>
      </c>
      <c r="D243" s="66">
        <v>1</v>
      </c>
      <c r="E243" s="147" t="s">
        <v>72</v>
      </c>
      <c r="F243" s="96">
        <f>VLOOKUP(E243,CONFIGURAÇÃO!E:F,2,0)</f>
      </c>
      <c r="G243" s="147" t="s">
        <v>13</v>
      </c>
      <c r="H243" s="96">
        <f>IF(G243="CORTESIA",0,D243*F243)</f>
      </c>
      <c r="I243" s="147" t="s">
        <v>19</v>
      </c>
      <c r="J243" s="149" t="s">
        <v>184</v>
      </c>
      <c r="K243" s="147"/>
      <c r="L243" s="1"/>
      <c r="M243" s="1"/>
      <c r="N243" s="3"/>
    </row>
    <row x14ac:dyDescent="0.25" r="244" customHeight="1" ht="18.75" hidden="1">
      <c r="A244" s="65">
        <v>45733</v>
      </c>
      <c r="B244" s="155" t="s">
        <v>259</v>
      </c>
      <c r="C244" s="160">
        <f>VLOOKUP(B244,CONFIGURAÇÃO!H:I,2,FALSE)</f>
      </c>
      <c r="D244" s="66">
        <v>1</v>
      </c>
      <c r="E244" s="147" t="s">
        <v>78</v>
      </c>
      <c r="F244" s="96">
        <f>VLOOKUP(E244,CONFIGURAÇÃO!E:F,2,0)</f>
      </c>
      <c r="G244" s="147" t="s">
        <v>13</v>
      </c>
      <c r="H244" s="96">
        <f>IF(G244="CORTESIA",0,D244*F244)</f>
      </c>
      <c r="I244" s="147" t="s">
        <v>22</v>
      </c>
      <c r="J244" s="149" t="s">
        <v>184</v>
      </c>
      <c r="K244" s="147"/>
      <c r="L244" s="1"/>
      <c r="M244" s="1"/>
      <c r="N244" s="3"/>
    </row>
    <row x14ac:dyDescent="0.25" r="245" customHeight="1" ht="18.75" hidden="1">
      <c r="A245" s="67">
        <v>45741</v>
      </c>
      <c r="B245" s="154" t="s">
        <v>259</v>
      </c>
      <c r="C245" s="160">
        <f>VLOOKUP(B245,CONFIGURAÇÃO!H:I,2,FALSE)</f>
      </c>
      <c r="D245" s="148">
        <v>1</v>
      </c>
      <c r="E245" s="149" t="s">
        <v>183</v>
      </c>
      <c r="F245" s="96">
        <f>VLOOKUP(E245,CONFIGURAÇÃO!E:F,2,0)</f>
      </c>
      <c r="G245" s="147" t="s">
        <v>13</v>
      </c>
      <c r="H245" s="96">
        <f>IF(G245="CORTESIA",0,D245*F245)</f>
      </c>
      <c r="I245" s="147" t="s">
        <v>22</v>
      </c>
      <c r="J245" s="149" t="s">
        <v>184</v>
      </c>
      <c r="K245" s="147"/>
      <c r="L245" s="1"/>
      <c r="M245" s="1"/>
      <c r="N245" s="3"/>
    </row>
    <row x14ac:dyDescent="0.25" r="246" customHeight="1" ht="18.75" hidden="1">
      <c r="A246" s="65" t="s">
        <v>159</v>
      </c>
      <c r="B246" s="155" t="s">
        <v>259</v>
      </c>
      <c r="C246" s="160">
        <f>VLOOKUP(B246,CONFIGURAÇÃO!H:I,2,FALSE)</f>
      </c>
      <c r="D246" s="66">
        <v>1</v>
      </c>
      <c r="E246" s="147" t="s">
        <v>78</v>
      </c>
      <c r="F246" s="96">
        <f>VLOOKUP(E246,CONFIGURAÇÃO!E:F,2,0)</f>
      </c>
      <c r="G246" s="147" t="s">
        <v>13</v>
      </c>
      <c r="H246" s="96">
        <f>IF(G246="CORTESIA",0,D246*F246)</f>
      </c>
      <c r="I246" s="147" t="s">
        <v>22</v>
      </c>
      <c r="J246" s="149" t="s">
        <v>184</v>
      </c>
      <c r="K246" s="147"/>
      <c r="L246" s="1"/>
      <c r="M246" s="1"/>
      <c r="N246" s="3"/>
    </row>
    <row x14ac:dyDescent="0.25" r="247" customHeight="1" ht="18.75" hidden="1">
      <c r="A247" s="65" t="s">
        <v>160</v>
      </c>
      <c r="B247" s="155" t="s">
        <v>259</v>
      </c>
      <c r="C247" s="160">
        <f>VLOOKUP(B247,CONFIGURAÇÃO!H:I,2,FALSE)</f>
      </c>
      <c r="D247" s="66">
        <v>1</v>
      </c>
      <c r="E247" s="147" t="s">
        <v>183</v>
      </c>
      <c r="F247" s="96">
        <f>VLOOKUP(E247,CONFIGURAÇÃO!E:F,2,0)</f>
      </c>
      <c r="G247" s="147" t="s">
        <v>13</v>
      </c>
      <c r="H247" s="96">
        <f>IF(G247="CORTESIA",0,D247*F247)</f>
      </c>
      <c r="I247" s="147" t="s">
        <v>22</v>
      </c>
      <c r="J247" s="149" t="s">
        <v>184</v>
      </c>
      <c r="K247" s="147"/>
      <c r="L247" s="1"/>
      <c r="M247" s="1"/>
      <c r="N247" s="3"/>
    </row>
    <row x14ac:dyDescent="0.25" r="248" customHeight="1" ht="18.75" hidden="1">
      <c r="A248" s="65" t="s">
        <v>188</v>
      </c>
      <c r="B248" s="155" t="s">
        <v>141</v>
      </c>
      <c r="C248" s="160">
        <f>VLOOKUP(B248,CONFIGURAÇÃO!H:I,2,FALSE)</f>
      </c>
      <c r="D248" s="66">
        <v>1</v>
      </c>
      <c r="E248" s="147" t="s">
        <v>72</v>
      </c>
      <c r="F248" s="96">
        <f>VLOOKUP(E248,CONFIGURAÇÃO!E:F,2,0)</f>
      </c>
      <c r="G248" s="147" t="s">
        <v>13</v>
      </c>
      <c r="H248" s="96">
        <f>IF(G248="CORTESIA",0,D248*F248)</f>
      </c>
      <c r="I248" s="147" t="s">
        <v>22</v>
      </c>
      <c r="J248" s="149" t="s">
        <v>184</v>
      </c>
      <c r="K248" s="147"/>
      <c r="L248" s="1"/>
      <c r="M248" s="1"/>
      <c r="N248" s="3"/>
    </row>
    <row x14ac:dyDescent="0.25" r="249" customHeight="1" ht="18.75" hidden="1">
      <c r="A249" s="65" t="s">
        <v>159</v>
      </c>
      <c r="B249" s="155" t="s">
        <v>141</v>
      </c>
      <c r="C249" s="160">
        <f>VLOOKUP(B249,CONFIGURAÇÃO!H:I,2,FALSE)</f>
      </c>
      <c r="D249" s="66">
        <v>1</v>
      </c>
      <c r="E249" s="147" t="s">
        <v>78</v>
      </c>
      <c r="F249" s="96">
        <f>VLOOKUP(E249,CONFIGURAÇÃO!E:F,2,0)</f>
      </c>
      <c r="G249" s="147" t="s">
        <v>13</v>
      </c>
      <c r="H249" s="96">
        <f>IF(G249="CORTESIA",0,D249*F249)</f>
      </c>
      <c r="I249" s="147" t="s">
        <v>22</v>
      </c>
      <c r="J249" s="149" t="s">
        <v>184</v>
      </c>
      <c r="K249" s="147"/>
      <c r="L249" s="1"/>
      <c r="M249" s="1"/>
      <c r="N249" s="3"/>
    </row>
    <row x14ac:dyDescent="0.25" r="250" customHeight="1" ht="18.75" hidden="1">
      <c r="A250" s="67" t="s">
        <v>163</v>
      </c>
      <c r="B250" s="154" t="s">
        <v>141</v>
      </c>
      <c r="C250" s="160">
        <f>VLOOKUP(B250,CONFIGURAÇÃO!H:I,2,FALSE)</f>
      </c>
      <c r="D250" s="148">
        <v>1</v>
      </c>
      <c r="E250" s="149" t="s">
        <v>78</v>
      </c>
      <c r="F250" s="96">
        <f>VLOOKUP(E250,CONFIGURAÇÃO!E:F,2,0)</f>
      </c>
      <c r="G250" s="147" t="s">
        <v>13</v>
      </c>
      <c r="H250" s="96">
        <f>IF(G250="CORTESIA",0,D250*F250)</f>
      </c>
      <c r="I250" s="147" t="s">
        <v>22</v>
      </c>
      <c r="J250" s="149" t="s">
        <v>184</v>
      </c>
      <c r="K250" s="147"/>
      <c r="L250" s="1"/>
      <c r="M250" s="1"/>
      <c r="N250" s="3"/>
    </row>
    <row x14ac:dyDescent="0.25" r="251" customHeight="1" ht="18.75" hidden="1">
      <c r="A251" s="67" t="s">
        <v>163</v>
      </c>
      <c r="B251" s="154" t="s">
        <v>141</v>
      </c>
      <c r="C251" s="160">
        <f>VLOOKUP(B251,CONFIGURAÇÃO!H:I,2,FALSE)</f>
      </c>
      <c r="D251" s="148">
        <v>1</v>
      </c>
      <c r="E251" s="149" t="s">
        <v>183</v>
      </c>
      <c r="F251" s="96">
        <f>VLOOKUP(E251,CONFIGURAÇÃO!E:F,2,0)</f>
      </c>
      <c r="G251" s="147" t="s">
        <v>13</v>
      </c>
      <c r="H251" s="96">
        <f>IF(G251="CORTESIA",0,D251*F251)</f>
      </c>
      <c r="I251" s="147" t="s">
        <v>22</v>
      </c>
      <c r="J251" s="149" t="s">
        <v>184</v>
      </c>
      <c r="K251" s="147"/>
      <c r="L251" s="1"/>
      <c r="M251" s="1"/>
      <c r="N251" s="3"/>
    </row>
    <row x14ac:dyDescent="0.25" r="252" customHeight="1" ht="18.75" hidden="1">
      <c r="A252" s="67">
        <v>45748</v>
      </c>
      <c r="B252" s="154" t="s">
        <v>90</v>
      </c>
      <c r="C252" s="160">
        <f>VLOOKUP(B252,CONFIGURAÇÃO!H:I,2,FALSE)</f>
      </c>
      <c r="D252" s="148">
        <v>1</v>
      </c>
      <c r="E252" s="149" t="s">
        <v>72</v>
      </c>
      <c r="F252" s="96">
        <f>VLOOKUP(E252,CONFIGURAÇÃO!E:F,2,0)</f>
      </c>
      <c r="G252" s="147" t="s">
        <v>13</v>
      </c>
      <c r="H252" s="96">
        <f>IF(G252="CORTESIA",0,D252*F252)</f>
      </c>
      <c r="I252" s="147" t="s">
        <v>22</v>
      </c>
      <c r="J252" s="149" t="s">
        <v>184</v>
      </c>
      <c r="K252" s="147"/>
      <c r="L252" s="1"/>
      <c r="M252" s="1"/>
      <c r="N252" s="3"/>
    </row>
    <row x14ac:dyDescent="0.25" r="253" customHeight="1" ht="18.75" hidden="1">
      <c r="A253" s="65" t="s">
        <v>172</v>
      </c>
      <c r="B253" s="155" t="s">
        <v>90</v>
      </c>
      <c r="C253" s="160">
        <f>VLOOKUP(B253,CONFIGURAÇÃO!H:I,2,FALSE)</f>
      </c>
      <c r="D253" s="66">
        <v>1</v>
      </c>
      <c r="E253" s="147" t="s">
        <v>183</v>
      </c>
      <c r="F253" s="96">
        <f>VLOOKUP(E253,CONFIGURAÇÃO!E:F,2,0)</f>
      </c>
      <c r="G253" s="147" t="s">
        <v>13</v>
      </c>
      <c r="H253" s="96">
        <f>IF(G253="CORTESIA",0,D253*F253)</f>
      </c>
      <c r="I253" s="147" t="s">
        <v>22</v>
      </c>
      <c r="J253" s="149" t="s">
        <v>184</v>
      </c>
      <c r="K253" s="147"/>
      <c r="L253" s="1"/>
      <c r="M253" s="1"/>
      <c r="N253" s="3"/>
    </row>
    <row x14ac:dyDescent="0.25" r="254" customHeight="1" ht="18.75" hidden="1">
      <c r="A254" s="65" t="s">
        <v>160</v>
      </c>
      <c r="B254" s="155" t="s">
        <v>90</v>
      </c>
      <c r="C254" s="160">
        <f>VLOOKUP(B254,CONFIGURAÇÃO!H:I,2,FALSE)</f>
      </c>
      <c r="D254" s="66">
        <v>1</v>
      </c>
      <c r="E254" s="147" t="s">
        <v>183</v>
      </c>
      <c r="F254" s="96">
        <f>VLOOKUP(E254,CONFIGURAÇÃO!E:F,2,0)</f>
      </c>
      <c r="G254" s="147" t="s">
        <v>13</v>
      </c>
      <c r="H254" s="96">
        <f>IF(G254="CORTESIA",0,D254*F254)</f>
      </c>
      <c r="I254" s="147" t="s">
        <v>22</v>
      </c>
      <c r="J254" s="149" t="s">
        <v>184</v>
      </c>
      <c r="K254" s="147"/>
      <c r="L254" s="1"/>
      <c r="M254" s="1"/>
      <c r="N254" s="3"/>
    </row>
    <row x14ac:dyDescent="0.25" r="255" customHeight="1" ht="18.75" hidden="1">
      <c r="A255" s="67">
        <v>45749</v>
      </c>
      <c r="B255" s="154" t="s">
        <v>103</v>
      </c>
      <c r="C255" s="160">
        <f>VLOOKUP(B255,CONFIGURAÇÃO!H:I,2,FALSE)</f>
      </c>
      <c r="D255" s="148">
        <v>1</v>
      </c>
      <c r="E255" s="149" t="s">
        <v>183</v>
      </c>
      <c r="F255" s="96">
        <f>VLOOKUP(E255,CONFIGURAÇÃO!E:F,2,0)</f>
      </c>
      <c r="G255" s="147" t="s">
        <v>13</v>
      </c>
      <c r="H255" s="96">
        <f>IF(G255="CORTESIA",0,D255*F255)</f>
      </c>
      <c r="I255" s="147" t="s">
        <v>22</v>
      </c>
      <c r="J255" s="149" t="s">
        <v>184</v>
      </c>
      <c r="K255" s="147"/>
      <c r="L255" s="1"/>
      <c r="M255" s="1"/>
      <c r="N255" s="3"/>
    </row>
    <row x14ac:dyDescent="0.25" r="256" customHeight="1" ht="18.75" hidden="1">
      <c r="A256" s="67">
        <v>45750</v>
      </c>
      <c r="B256" s="154" t="s">
        <v>103</v>
      </c>
      <c r="C256" s="160">
        <f>VLOOKUP(B256,CONFIGURAÇÃO!H:I,2,FALSE)</f>
      </c>
      <c r="D256" s="148">
        <v>1</v>
      </c>
      <c r="E256" s="149" t="s">
        <v>78</v>
      </c>
      <c r="F256" s="96">
        <f>VLOOKUP(E256,CONFIGURAÇÃO!E:F,2,0)</f>
      </c>
      <c r="G256" s="147" t="s">
        <v>13</v>
      </c>
      <c r="H256" s="96">
        <f>IF(G256="CORTESIA",0,D256*F256)</f>
      </c>
      <c r="I256" s="147" t="s">
        <v>22</v>
      </c>
      <c r="J256" s="149" t="s">
        <v>184</v>
      </c>
      <c r="K256" s="147"/>
      <c r="L256" s="1"/>
      <c r="M256" s="1"/>
      <c r="N256" s="3"/>
    </row>
    <row x14ac:dyDescent="0.25" r="257" customHeight="1" ht="18.75" hidden="1">
      <c r="A257" s="67">
        <v>45741</v>
      </c>
      <c r="B257" s="154" t="s">
        <v>127</v>
      </c>
      <c r="C257" s="160">
        <f>VLOOKUP(B257,CONFIGURAÇÃO!H:I,2,FALSE)</f>
      </c>
      <c r="D257" s="148">
        <v>2</v>
      </c>
      <c r="E257" s="149" t="s">
        <v>183</v>
      </c>
      <c r="F257" s="96">
        <f>VLOOKUP(E257,CONFIGURAÇÃO!E:F,2,0)</f>
      </c>
      <c r="G257" s="147" t="s">
        <v>13</v>
      </c>
      <c r="H257" s="96">
        <f>IF(G257="CORTESIA",0,D257*F257)</f>
      </c>
      <c r="I257" s="147" t="s">
        <v>22</v>
      </c>
      <c r="J257" s="149" t="s">
        <v>184</v>
      </c>
      <c r="K257" s="147"/>
      <c r="L257" s="1"/>
      <c r="M257" s="1"/>
      <c r="N257" s="3"/>
    </row>
    <row x14ac:dyDescent="0.25" r="258" customHeight="1" ht="18.75" hidden="1">
      <c r="A258" s="67">
        <v>45748</v>
      </c>
      <c r="B258" s="154" t="s">
        <v>127</v>
      </c>
      <c r="C258" s="160">
        <f>VLOOKUP(B258,CONFIGURAÇÃO!H:I,2,FALSE)</f>
      </c>
      <c r="D258" s="148">
        <v>1</v>
      </c>
      <c r="E258" s="149" t="s">
        <v>72</v>
      </c>
      <c r="F258" s="96">
        <f>VLOOKUP(E258,CONFIGURAÇÃO!E:F,2,0)</f>
      </c>
      <c r="G258" s="147" t="s">
        <v>13</v>
      </c>
      <c r="H258" s="96">
        <f>IF(G258="CORTESIA",0,D258*F258)</f>
      </c>
      <c r="I258" s="147" t="s">
        <v>22</v>
      </c>
      <c r="J258" s="149" t="s">
        <v>184</v>
      </c>
      <c r="K258" s="147"/>
      <c r="L258" s="1"/>
      <c r="M258" s="1"/>
      <c r="N258" s="3"/>
    </row>
    <row x14ac:dyDescent="0.25" r="259" customHeight="1" ht="18.75" hidden="1">
      <c r="A259" s="65" t="s">
        <v>172</v>
      </c>
      <c r="B259" s="155" t="s">
        <v>127</v>
      </c>
      <c r="C259" s="160">
        <f>VLOOKUP(B259,CONFIGURAÇÃO!H:I,2,FALSE)</f>
      </c>
      <c r="D259" s="66">
        <v>2</v>
      </c>
      <c r="E259" s="147" t="s">
        <v>183</v>
      </c>
      <c r="F259" s="96">
        <f>VLOOKUP(E259,CONFIGURAÇÃO!E:F,2,0)</f>
      </c>
      <c r="G259" s="147" t="s">
        <v>13</v>
      </c>
      <c r="H259" s="96">
        <f>IF(G259="CORTESIA",0,D259*F259)</f>
      </c>
      <c r="I259" s="147" t="s">
        <v>22</v>
      </c>
      <c r="J259" s="149" t="s">
        <v>184</v>
      </c>
      <c r="K259" s="147"/>
      <c r="L259" s="1"/>
      <c r="M259" s="1"/>
      <c r="N259" s="3"/>
    </row>
    <row x14ac:dyDescent="0.25" r="260" customHeight="1" ht="18.75" hidden="1">
      <c r="A260" s="67" t="s">
        <v>164</v>
      </c>
      <c r="B260" s="154" t="s">
        <v>127</v>
      </c>
      <c r="C260" s="160">
        <f>VLOOKUP(B260,CONFIGURAÇÃO!H:I,2,FALSE)</f>
      </c>
      <c r="D260" s="148">
        <v>1</v>
      </c>
      <c r="E260" s="149" t="s">
        <v>183</v>
      </c>
      <c r="F260" s="96">
        <f>VLOOKUP(E260,CONFIGURAÇÃO!E:F,2,0)</f>
      </c>
      <c r="G260" s="147" t="s">
        <v>13</v>
      </c>
      <c r="H260" s="96">
        <f>IF(G260="CORTESIA",0,D260*F260)</f>
      </c>
      <c r="I260" s="147" t="s">
        <v>22</v>
      </c>
      <c r="J260" s="149" t="s">
        <v>184</v>
      </c>
      <c r="K260" s="147"/>
      <c r="L260" s="1"/>
      <c r="M260" s="1"/>
      <c r="N260" s="3"/>
    </row>
    <row x14ac:dyDescent="0.25" r="261" customHeight="1" ht="18.75" hidden="1">
      <c r="A261" s="67" t="s">
        <v>160</v>
      </c>
      <c r="B261" s="154" t="s">
        <v>260</v>
      </c>
      <c r="C261" s="160">
        <f>VLOOKUP(B261,CONFIGURAÇÃO!H:I,2,FALSE)</f>
      </c>
      <c r="D261" s="148">
        <v>1</v>
      </c>
      <c r="E261" s="149" t="s">
        <v>183</v>
      </c>
      <c r="F261" s="96">
        <f>VLOOKUP(E261,CONFIGURAÇÃO!E:F,2,0)</f>
      </c>
      <c r="G261" s="147" t="s">
        <v>73</v>
      </c>
      <c r="H261" s="96">
        <f>IF(G261="CORTESIA",0,D261*F261)</f>
      </c>
      <c r="I261" s="147" t="s">
        <v>50</v>
      </c>
      <c r="J261" s="149" t="s">
        <v>184</v>
      </c>
      <c r="K261" s="147"/>
      <c r="L261" s="1"/>
      <c r="M261" s="1"/>
      <c r="N261" s="3"/>
    </row>
    <row x14ac:dyDescent="0.25" r="262" customHeight="1" ht="18.75" hidden="1">
      <c r="A262" s="65" t="s">
        <v>228</v>
      </c>
      <c r="B262" s="155" t="s">
        <v>261</v>
      </c>
      <c r="C262" s="160">
        <f>VLOOKUP(B262,CONFIGURAÇÃO!H:I,2,FALSE)</f>
      </c>
      <c r="D262" s="66">
        <v>1</v>
      </c>
      <c r="E262" s="147" t="s">
        <v>72</v>
      </c>
      <c r="F262" s="96">
        <f>VLOOKUP(E262,CONFIGURAÇÃO!E:F,2,0)</f>
      </c>
      <c r="G262" s="147" t="s">
        <v>13</v>
      </c>
      <c r="H262" s="96">
        <f>IF(G262="CORTESIA",0,D262*F262)</f>
      </c>
      <c r="I262" s="147" t="s">
        <v>19</v>
      </c>
      <c r="J262" s="149" t="s">
        <v>184</v>
      </c>
      <c r="K262" s="147"/>
      <c r="L262" s="1"/>
      <c r="M262" s="1"/>
      <c r="N262" s="3"/>
    </row>
    <row x14ac:dyDescent="0.25" r="263" customHeight="1" ht="18.75" hidden="1">
      <c r="A263" s="67" t="s">
        <v>178</v>
      </c>
      <c r="B263" s="154" t="s">
        <v>262</v>
      </c>
      <c r="C263" s="160">
        <f>VLOOKUP(B263,CONFIGURAÇÃO!H:I,2,FALSE)</f>
      </c>
      <c r="D263" s="148">
        <v>1</v>
      </c>
      <c r="E263" s="149" t="s">
        <v>72</v>
      </c>
      <c r="F263" s="96">
        <f>VLOOKUP(E263,CONFIGURAÇÃO!E:F,2,0)</f>
      </c>
      <c r="G263" s="147" t="s">
        <v>13</v>
      </c>
      <c r="H263" s="96">
        <f>IF(G263="CORTESIA",0,D263*F263)</f>
      </c>
      <c r="I263" s="147" t="s">
        <v>50</v>
      </c>
      <c r="J263" s="149" t="s">
        <v>184</v>
      </c>
      <c r="K263" s="147"/>
      <c r="L263" s="1"/>
      <c r="M263" s="1"/>
      <c r="N263" s="3"/>
    </row>
    <row x14ac:dyDescent="0.25" r="264" customHeight="1" ht="18.75" hidden="1">
      <c r="A264" s="67" t="s">
        <v>160</v>
      </c>
      <c r="B264" s="154" t="s">
        <v>262</v>
      </c>
      <c r="C264" s="160">
        <f>VLOOKUP(B264,CONFIGURAÇÃO!H:I,2,FALSE)</f>
      </c>
      <c r="D264" s="148">
        <v>1</v>
      </c>
      <c r="E264" s="149" t="s">
        <v>183</v>
      </c>
      <c r="F264" s="96">
        <f>VLOOKUP(E264,CONFIGURAÇÃO!E:F,2,0)</f>
      </c>
      <c r="G264" s="147" t="s">
        <v>73</v>
      </c>
      <c r="H264" s="96">
        <f>IF(G264="CORTESIA",0,D264*F264)</f>
      </c>
      <c r="I264" s="147" t="s">
        <v>50</v>
      </c>
      <c r="J264" s="149" t="s">
        <v>184</v>
      </c>
      <c r="K264" s="147"/>
      <c r="L264" s="1"/>
      <c r="M264" s="1"/>
      <c r="N264" s="3"/>
    </row>
    <row x14ac:dyDescent="0.25" r="265" customHeight="1" ht="18.75" hidden="1">
      <c r="A265" s="67" t="s">
        <v>159</v>
      </c>
      <c r="B265" s="154" t="s">
        <v>262</v>
      </c>
      <c r="C265" s="160">
        <f>VLOOKUP(B265,CONFIGURAÇÃO!H:I,2,FALSE)</f>
      </c>
      <c r="D265" s="148">
        <v>1</v>
      </c>
      <c r="E265" s="149" t="s">
        <v>72</v>
      </c>
      <c r="F265" s="96">
        <f>VLOOKUP(E265,CONFIGURAÇÃO!E:F,2,0)</f>
      </c>
      <c r="G265" s="147" t="s">
        <v>13</v>
      </c>
      <c r="H265" s="96">
        <f>IF(G265="CORTESIA",0,D265*F265)</f>
      </c>
      <c r="I265" s="147" t="s">
        <v>50</v>
      </c>
      <c r="J265" s="149" t="s">
        <v>184</v>
      </c>
      <c r="K265" s="147"/>
      <c r="L265" s="1"/>
      <c r="M265" s="1"/>
      <c r="N265" s="3"/>
    </row>
    <row x14ac:dyDescent="0.25" r="266" customHeight="1" ht="18.75" hidden="1">
      <c r="A266" s="65" t="s">
        <v>162</v>
      </c>
      <c r="B266" s="154" t="s">
        <v>262</v>
      </c>
      <c r="C266" s="160">
        <f>VLOOKUP(B266,CONFIGURAÇÃO!H:I,2,FALSE)</f>
      </c>
      <c r="D266" s="66">
        <v>1</v>
      </c>
      <c r="E266" s="147" t="s">
        <v>72</v>
      </c>
      <c r="F266" s="96">
        <v>10</v>
      </c>
      <c r="G266" s="147" t="s">
        <v>13</v>
      </c>
      <c r="H266" s="96">
        <v>10</v>
      </c>
      <c r="I266" s="147" t="s">
        <v>50</v>
      </c>
      <c r="J266" s="149" t="s">
        <v>184</v>
      </c>
      <c r="K266" s="147"/>
      <c r="L266" s="1"/>
      <c r="M266" s="1"/>
      <c r="N266" s="3"/>
    </row>
    <row x14ac:dyDescent="0.25" r="267" customHeight="1" ht="18.75" hidden="1">
      <c r="A267" s="65" t="s">
        <v>164</v>
      </c>
      <c r="B267" s="154" t="s">
        <v>262</v>
      </c>
      <c r="C267" s="160">
        <f>VLOOKUP(B267,CONFIGURAÇÃO!H:I,2,FALSE)</f>
      </c>
      <c r="D267" s="66">
        <v>1</v>
      </c>
      <c r="E267" s="147" t="s">
        <v>78</v>
      </c>
      <c r="F267" s="96">
        <v>12</v>
      </c>
      <c r="G267" s="147" t="s">
        <v>13</v>
      </c>
      <c r="H267" s="96">
        <v>12</v>
      </c>
      <c r="I267" s="147" t="s">
        <v>50</v>
      </c>
      <c r="J267" s="149" t="s">
        <v>184</v>
      </c>
      <c r="K267" s="147"/>
      <c r="L267" s="1"/>
      <c r="M267" s="1"/>
      <c r="N267" s="3"/>
    </row>
    <row x14ac:dyDescent="0.25" r="268" customHeight="1" ht="18.75" hidden="1">
      <c r="A268" s="65" t="s">
        <v>189</v>
      </c>
      <c r="B268" s="154" t="s">
        <v>262</v>
      </c>
      <c r="C268" s="160">
        <f>VLOOKUP(B268,CONFIGURAÇÃO!H:I,2,FALSE)</f>
      </c>
      <c r="D268" s="66">
        <v>1</v>
      </c>
      <c r="E268" s="147" t="s">
        <v>72</v>
      </c>
      <c r="F268" s="96">
        <v>10</v>
      </c>
      <c r="G268" s="147" t="s">
        <v>13</v>
      </c>
      <c r="H268" s="96">
        <v>10</v>
      </c>
      <c r="I268" s="147" t="s">
        <v>50</v>
      </c>
      <c r="J268" s="149" t="s">
        <v>74</v>
      </c>
      <c r="K268" s="147"/>
      <c r="L268" s="1"/>
      <c r="M268" s="1"/>
      <c r="N268" s="3"/>
    </row>
    <row x14ac:dyDescent="0.25" r="269" customHeight="1" ht="18.75" hidden="1">
      <c r="A269" s="67">
        <v>45749</v>
      </c>
      <c r="B269" s="154" t="s">
        <v>263</v>
      </c>
      <c r="C269" s="160">
        <f>VLOOKUP(B269,CONFIGURAÇÃO!H:I,2,FALSE)</f>
      </c>
      <c r="D269" s="148">
        <v>1</v>
      </c>
      <c r="E269" s="149" t="s">
        <v>183</v>
      </c>
      <c r="F269" s="96">
        <f>VLOOKUP(E269,CONFIGURAÇÃO!E:F,2,0)</f>
      </c>
      <c r="G269" s="147" t="s">
        <v>13</v>
      </c>
      <c r="H269" s="96">
        <f>IF(G269="CORTESIA",0,D269*F269)</f>
      </c>
      <c r="I269" s="147" t="s">
        <v>22</v>
      </c>
      <c r="J269" s="149" t="s">
        <v>184</v>
      </c>
      <c r="K269" s="147"/>
      <c r="L269" s="1"/>
      <c r="M269" s="1"/>
      <c r="N269" s="3"/>
    </row>
    <row x14ac:dyDescent="0.25" r="270" customHeight="1" ht="18.75" hidden="1">
      <c r="A270" s="67" t="s">
        <v>198</v>
      </c>
      <c r="B270" s="154" t="s">
        <v>264</v>
      </c>
      <c r="C270" s="160">
        <f>VLOOKUP(B270,CONFIGURAÇÃO!H:I,2,FALSE)</f>
      </c>
      <c r="D270" s="148">
        <v>1</v>
      </c>
      <c r="E270" s="149" t="s">
        <v>183</v>
      </c>
      <c r="F270" s="96">
        <f>VLOOKUP(E270,CONFIGURAÇÃO!E:F,2,0)</f>
      </c>
      <c r="G270" s="147" t="s">
        <v>73</v>
      </c>
      <c r="H270" s="96">
        <f>IF(G270="CORTESIA",0,D270*F270)</f>
      </c>
      <c r="I270" s="147" t="s">
        <v>50</v>
      </c>
      <c r="J270" s="149" t="s">
        <v>184</v>
      </c>
      <c r="K270" s="147"/>
      <c r="L270" s="1"/>
      <c r="M270" s="1"/>
      <c r="N270" s="3"/>
    </row>
    <row x14ac:dyDescent="0.25" r="271" customHeight="1" ht="18.75" hidden="1">
      <c r="A271" s="67" t="s">
        <v>160</v>
      </c>
      <c r="B271" s="154" t="s">
        <v>264</v>
      </c>
      <c r="C271" s="160">
        <f>VLOOKUP(B271,CONFIGURAÇÃO!H:I,2,FALSE)</f>
      </c>
      <c r="D271" s="148">
        <v>1</v>
      </c>
      <c r="E271" s="149" t="s">
        <v>183</v>
      </c>
      <c r="F271" s="96">
        <f>VLOOKUP(E271,CONFIGURAÇÃO!E:F,2,0)</f>
      </c>
      <c r="G271" s="147" t="s">
        <v>73</v>
      </c>
      <c r="H271" s="96">
        <f>IF(G271="CORTESIA",0,D271*F271)</f>
      </c>
      <c r="I271" s="147" t="s">
        <v>50</v>
      </c>
      <c r="J271" s="149" t="s">
        <v>184</v>
      </c>
      <c r="K271" s="147"/>
      <c r="L271" s="1"/>
      <c r="M271" s="1"/>
      <c r="N271" s="3"/>
    </row>
    <row x14ac:dyDescent="0.25" r="272" customHeight="1" ht="18.75" hidden="1">
      <c r="A272" s="65" t="s">
        <v>164</v>
      </c>
      <c r="B272" s="155" t="s">
        <v>264</v>
      </c>
      <c r="C272" s="160">
        <f>VLOOKUP(B272,CONFIGURAÇÃO!H:I,2,FALSE)</f>
      </c>
      <c r="D272" s="66">
        <v>1</v>
      </c>
      <c r="E272" s="147" t="s">
        <v>78</v>
      </c>
      <c r="F272" s="96">
        <f>VLOOKUP(E272,CONFIGURAÇÃO!E:F,2,0)</f>
      </c>
      <c r="G272" s="147" t="s">
        <v>73</v>
      </c>
      <c r="H272" s="96">
        <f>IF(G272="CORTESIA",0,D272*F272)</f>
      </c>
      <c r="I272" s="147" t="s">
        <v>50</v>
      </c>
      <c r="J272" s="149" t="s">
        <v>184</v>
      </c>
      <c r="K272" s="147"/>
      <c r="L272" s="1"/>
      <c r="M272" s="1"/>
      <c r="N272" s="3"/>
    </row>
    <row x14ac:dyDescent="0.25" r="273" customHeight="1" ht="18.75" hidden="1">
      <c r="A273" s="65">
        <v>45661</v>
      </c>
      <c r="B273" s="155" t="s">
        <v>265</v>
      </c>
      <c r="C273" s="160">
        <f>VLOOKUP(B273,CONFIGURAÇÃO!H:I,2,FALSE)</f>
      </c>
      <c r="D273" s="66">
        <v>1</v>
      </c>
      <c r="E273" s="147" t="s">
        <v>72</v>
      </c>
      <c r="F273" s="96">
        <f>VLOOKUP(E273,CONFIGURAÇÃO!E:F,2,0)</f>
      </c>
      <c r="G273" s="147" t="s">
        <v>13</v>
      </c>
      <c r="H273" s="96">
        <f>IF(G273="CORTESIA",0,D273*F273)</f>
      </c>
      <c r="I273" s="147" t="s">
        <v>50</v>
      </c>
      <c r="J273" s="149" t="s">
        <v>184</v>
      </c>
      <c r="K273" s="147"/>
      <c r="L273" s="1"/>
      <c r="M273" s="1"/>
      <c r="N273" s="3"/>
    </row>
    <row x14ac:dyDescent="0.25" r="274" customHeight="1" ht="18.75" hidden="1">
      <c r="A274" s="67">
        <v>45740</v>
      </c>
      <c r="B274" s="154" t="s">
        <v>265</v>
      </c>
      <c r="C274" s="160">
        <f>VLOOKUP(B274,CONFIGURAÇÃO!H:I,2,FALSE)</f>
      </c>
      <c r="D274" s="148">
        <v>1</v>
      </c>
      <c r="E274" s="149" t="s">
        <v>72</v>
      </c>
      <c r="F274" s="96">
        <f>VLOOKUP(E274,CONFIGURAÇÃO!E:F,2,0)</f>
      </c>
      <c r="G274" s="147" t="s">
        <v>13</v>
      </c>
      <c r="H274" s="96">
        <f>IF(G274="CORTESIA",0,D274*F274)</f>
      </c>
      <c r="I274" s="147" t="s">
        <v>50</v>
      </c>
      <c r="J274" s="149" t="s">
        <v>184</v>
      </c>
      <c r="K274" s="147"/>
      <c r="L274" s="1"/>
      <c r="M274" s="1"/>
      <c r="N274" s="3"/>
    </row>
    <row x14ac:dyDescent="0.25" r="275" customHeight="1" ht="18.75" hidden="1">
      <c r="A275" s="67">
        <v>45750</v>
      </c>
      <c r="B275" s="154" t="s">
        <v>265</v>
      </c>
      <c r="C275" s="160">
        <f>VLOOKUP(B275,CONFIGURAÇÃO!H:I,2,FALSE)</f>
      </c>
      <c r="D275" s="148">
        <v>1</v>
      </c>
      <c r="E275" s="149" t="s">
        <v>78</v>
      </c>
      <c r="F275" s="96">
        <f>VLOOKUP(E275,CONFIGURAÇÃO!E:F,2,0)</f>
      </c>
      <c r="G275" s="147" t="s">
        <v>13</v>
      </c>
      <c r="H275" s="96">
        <f>IF(G275="CORTESIA",0,D275*F275)</f>
      </c>
      <c r="I275" s="147" t="s">
        <v>19</v>
      </c>
      <c r="J275" s="149" t="s">
        <v>184</v>
      </c>
      <c r="K275" s="147"/>
      <c r="L275" s="1"/>
      <c r="M275" s="1"/>
      <c r="N275" s="3"/>
    </row>
    <row x14ac:dyDescent="0.25" r="276" customHeight="1" ht="18.75" hidden="1">
      <c r="A276" s="65" t="s">
        <v>177</v>
      </c>
      <c r="B276" s="155" t="s">
        <v>265</v>
      </c>
      <c r="C276" s="160">
        <f>VLOOKUP(B276,CONFIGURAÇÃO!H:I,2,FALSE)</f>
      </c>
      <c r="D276" s="66">
        <v>1</v>
      </c>
      <c r="E276" s="147" t="s">
        <v>78</v>
      </c>
      <c r="F276" s="96">
        <f>VLOOKUP(E276,CONFIGURAÇÃO!E:F,2,0)</f>
      </c>
      <c r="G276" s="147" t="s">
        <v>13</v>
      </c>
      <c r="H276" s="96">
        <f>IF(G276="CORTESIA",0,D276*F276)</f>
      </c>
      <c r="I276" s="147" t="s">
        <v>19</v>
      </c>
      <c r="J276" s="149" t="s">
        <v>184</v>
      </c>
      <c r="K276" s="147"/>
      <c r="L276" s="1"/>
      <c r="M276" s="1"/>
      <c r="N276" s="3"/>
    </row>
    <row x14ac:dyDescent="0.25" r="277" customHeight="1" ht="18.75" hidden="1">
      <c r="A277" s="67" t="s">
        <v>188</v>
      </c>
      <c r="B277" s="154" t="s">
        <v>265</v>
      </c>
      <c r="C277" s="160">
        <f>VLOOKUP(B277,CONFIGURAÇÃO!H:I,2,FALSE)</f>
      </c>
      <c r="D277" s="148">
        <v>1</v>
      </c>
      <c r="E277" s="149" t="s">
        <v>78</v>
      </c>
      <c r="F277" s="96">
        <f>VLOOKUP(E277,CONFIGURAÇÃO!E:F,2,0)</f>
      </c>
      <c r="G277" s="147" t="s">
        <v>13</v>
      </c>
      <c r="H277" s="96">
        <f>IF(G277="CORTESIA",0,D277*F277)</f>
      </c>
      <c r="I277" s="147" t="s">
        <v>50</v>
      </c>
      <c r="J277" s="149" t="s">
        <v>184</v>
      </c>
      <c r="K277" s="147"/>
      <c r="L277" s="1"/>
      <c r="M277" s="1"/>
      <c r="N277" s="3"/>
    </row>
    <row x14ac:dyDescent="0.25" r="278" customHeight="1" ht="18.75" hidden="1">
      <c r="A278" s="67" t="s">
        <v>172</v>
      </c>
      <c r="B278" s="154" t="s">
        <v>265</v>
      </c>
      <c r="C278" s="160">
        <f>VLOOKUP(B278,CONFIGURAÇÃO!H:I,2,FALSE)</f>
      </c>
      <c r="D278" s="148">
        <v>1</v>
      </c>
      <c r="E278" s="149" t="s">
        <v>78</v>
      </c>
      <c r="F278" s="96">
        <f>VLOOKUP(E278,CONFIGURAÇÃO!E:F,2,0)</f>
      </c>
      <c r="G278" s="147" t="s">
        <v>13</v>
      </c>
      <c r="H278" s="96">
        <f>IF(G278="CORTESIA",0,D278*F278)</f>
      </c>
      <c r="I278" s="147" t="s">
        <v>50</v>
      </c>
      <c r="J278" s="149" t="s">
        <v>184</v>
      </c>
      <c r="K278" s="147" t="s">
        <v>266</v>
      </c>
      <c r="L278" s="1"/>
      <c r="M278" s="1"/>
      <c r="N278" s="3"/>
    </row>
    <row x14ac:dyDescent="0.25" r="279" customHeight="1" ht="18.75" hidden="1">
      <c r="A279" s="67" t="s">
        <v>160</v>
      </c>
      <c r="B279" s="155" t="s">
        <v>265</v>
      </c>
      <c r="C279" s="160">
        <f>VLOOKUP(B279,CONFIGURAÇÃO!H:I,2,FALSE)</f>
      </c>
      <c r="D279" s="148">
        <v>1</v>
      </c>
      <c r="E279" s="149" t="s">
        <v>78</v>
      </c>
      <c r="F279" s="96">
        <f>VLOOKUP(E279,CONFIGURAÇÃO!E:F,2,0)</f>
      </c>
      <c r="G279" s="147" t="s">
        <v>13</v>
      </c>
      <c r="H279" s="96">
        <f>IF(G279="CORTESIA",0,D279*F279)</f>
      </c>
      <c r="I279" s="147" t="s">
        <v>50</v>
      </c>
      <c r="J279" s="149" t="s">
        <v>184</v>
      </c>
      <c r="K279" s="147"/>
      <c r="L279" s="1"/>
      <c r="M279" s="1"/>
      <c r="N279" s="3"/>
    </row>
    <row x14ac:dyDescent="0.25" r="280" customHeight="1" ht="18.75" hidden="1">
      <c r="A280" s="65" t="s">
        <v>162</v>
      </c>
      <c r="B280" s="155" t="s">
        <v>265</v>
      </c>
      <c r="C280" s="160">
        <f>VLOOKUP(B280,CONFIGURAÇÃO!H:I,2,FALSE)</f>
      </c>
      <c r="D280" s="66">
        <v>1</v>
      </c>
      <c r="E280" s="147" t="s">
        <v>78</v>
      </c>
      <c r="F280" s="96">
        <f>VLOOKUP(E280,CONFIGURAÇÃO!E:F,2,0)</f>
      </c>
      <c r="G280" s="147" t="s">
        <v>13</v>
      </c>
      <c r="H280" s="96">
        <f>IF(G280="CORTESIA",0,D280*F280)</f>
      </c>
      <c r="I280" s="147" t="s">
        <v>50</v>
      </c>
      <c r="J280" s="149" t="s">
        <v>184</v>
      </c>
      <c r="K280" s="147"/>
      <c r="L280" s="1"/>
      <c r="M280" s="1"/>
      <c r="N280" s="3"/>
    </row>
    <row x14ac:dyDescent="0.25" r="281" customHeight="1" ht="18.75" hidden="1">
      <c r="A281" s="65" t="s">
        <v>163</v>
      </c>
      <c r="B281" s="155" t="s">
        <v>265</v>
      </c>
      <c r="C281" s="160">
        <f>VLOOKUP(B281,CONFIGURAÇÃO!H:I,2,FALSE)</f>
      </c>
      <c r="D281" s="66">
        <v>1</v>
      </c>
      <c r="E281" s="147" t="s">
        <v>183</v>
      </c>
      <c r="F281" s="96">
        <v>12</v>
      </c>
      <c r="G281" s="147" t="s">
        <v>13</v>
      </c>
      <c r="H281" s="96">
        <v>12</v>
      </c>
      <c r="I281" s="147" t="s">
        <v>50</v>
      </c>
      <c r="J281" s="149" t="s">
        <v>184</v>
      </c>
      <c r="K281" s="147"/>
      <c r="L281" s="1"/>
      <c r="M281" s="1"/>
      <c r="N281" s="3"/>
    </row>
    <row x14ac:dyDescent="0.25" r="282" customHeight="1" ht="18.75" hidden="1">
      <c r="A282" s="65" t="s">
        <v>180</v>
      </c>
      <c r="B282" s="155" t="s">
        <v>265</v>
      </c>
      <c r="C282" s="160">
        <f>VLOOKUP(B282,CONFIGURAÇÃO!H:I,2,FALSE)</f>
      </c>
      <c r="D282" s="66">
        <v>1</v>
      </c>
      <c r="E282" s="147" t="s">
        <v>78</v>
      </c>
      <c r="F282" s="96">
        <f>VLOOKUP(E282,CONFIGURAÇÃO!E:F,2,0)</f>
      </c>
      <c r="G282" s="147" t="s">
        <v>13</v>
      </c>
      <c r="H282" s="96">
        <f>IF(G282="CORTESIA",0,D282*F282)</f>
      </c>
      <c r="I282" s="147" t="s">
        <v>50</v>
      </c>
      <c r="J282" s="147"/>
      <c r="K282" s="147"/>
      <c r="L282" s="1"/>
      <c r="M282" s="1"/>
      <c r="N282" s="3"/>
    </row>
    <row x14ac:dyDescent="0.25" r="283" customHeight="1" ht="18.75" hidden="1">
      <c r="A283" s="67">
        <v>45740</v>
      </c>
      <c r="B283" s="154" t="s">
        <v>267</v>
      </c>
      <c r="C283" s="160">
        <f>VLOOKUP(B283,CONFIGURAÇÃO!H:I,2,FALSE)</f>
      </c>
      <c r="D283" s="148">
        <v>1</v>
      </c>
      <c r="E283" s="149" t="s">
        <v>72</v>
      </c>
      <c r="F283" s="96">
        <f>VLOOKUP(E283,CONFIGURAÇÃO!E:F,2,0)</f>
      </c>
      <c r="G283" s="147" t="s">
        <v>13</v>
      </c>
      <c r="H283" s="96">
        <f>IF(G283="CORTESIA",0,D283*F283)</f>
      </c>
      <c r="I283" s="147" t="s">
        <v>50</v>
      </c>
      <c r="J283" s="149" t="s">
        <v>184</v>
      </c>
      <c r="K283" s="147"/>
      <c r="L283" s="1"/>
      <c r="M283" s="1"/>
      <c r="N283" s="3"/>
    </row>
    <row x14ac:dyDescent="0.25" r="284" customHeight="1" ht="18.75" hidden="1">
      <c r="A284" s="67" t="s">
        <v>178</v>
      </c>
      <c r="B284" s="154" t="s">
        <v>267</v>
      </c>
      <c r="C284" s="160">
        <f>VLOOKUP(B284,CONFIGURAÇÃO!H:I,2,FALSE)</f>
      </c>
      <c r="D284" s="148">
        <v>1</v>
      </c>
      <c r="E284" s="149" t="s">
        <v>78</v>
      </c>
      <c r="F284" s="96">
        <f>VLOOKUP(E284,CONFIGURAÇÃO!E:F,2,0)</f>
      </c>
      <c r="G284" s="147" t="s">
        <v>13</v>
      </c>
      <c r="H284" s="96">
        <f>IF(G284="CORTESIA",0,D284*F284)</f>
      </c>
      <c r="I284" s="147" t="s">
        <v>50</v>
      </c>
      <c r="J284" s="149" t="s">
        <v>184</v>
      </c>
      <c r="K284" s="147"/>
      <c r="L284" s="1"/>
      <c r="M284" s="1"/>
      <c r="N284" s="3"/>
    </row>
    <row x14ac:dyDescent="0.25" r="285" customHeight="1" ht="18.75" hidden="1">
      <c r="A285" s="67" t="s">
        <v>178</v>
      </c>
      <c r="B285" s="154" t="s">
        <v>268</v>
      </c>
      <c r="C285" s="160">
        <f>VLOOKUP(B285,CONFIGURAÇÃO!H:I,2,FALSE)</f>
      </c>
      <c r="D285" s="148">
        <v>1</v>
      </c>
      <c r="E285" s="149" t="s">
        <v>78</v>
      </c>
      <c r="F285" s="96">
        <f>VLOOKUP(E285,CONFIGURAÇÃO!E:F,2,0)</f>
      </c>
      <c r="G285" s="147" t="s">
        <v>13</v>
      </c>
      <c r="H285" s="96">
        <f>IF(G285="CORTESIA",0,D285*F285)</f>
      </c>
      <c r="I285" s="147" t="s">
        <v>50</v>
      </c>
      <c r="J285" s="149" t="s">
        <v>184</v>
      </c>
      <c r="K285" s="147"/>
      <c r="L285" s="1"/>
      <c r="M285" s="1"/>
      <c r="N285" s="3"/>
    </row>
    <row x14ac:dyDescent="0.25" r="286" customHeight="1" ht="18.75" hidden="1">
      <c r="A286" s="67" t="s">
        <v>178</v>
      </c>
      <c r="B286" s="154" t="s">
        <v>268</v>
      </c>
      <c r="C286" s="160">
        <f>VLOOKUP(B286,CONFIGURAÇÃO!H:I,2,FALSE)</f>
      </c>
      <c r="D286" s="148">
        <v>1</v>
      </c>
      <c r="E286" s="149" t="s">
        <v>72</v>
      </c>
      <c r="F286" s="96">
        <f>VLOOKUP(E286,CONFIGURAÇÃO!E:F,2,0)</f>
      </c>
      <c r="G286" s="147" t="s">
        <v>13</v>
      </c>
      <c r="H286" s="96">
        <f>IF(G286="CORTESIA",0,D286*F286)</f>
      </c>
      <c r="I286" s="147" t="s">
        <v>50</v>
      </c>
      <c r="J286" s="149" t="s">
        <v>184</v>
      </c>
      <c r="K286" s="147"/>
      <c r="L286" s="1"/>
      <c r="M286" s="1"/>
      <c r="N286" s="3"/>
    </row>
    <row x14ac:dyDescent="0.25" r="287" customHeight="1" ht="18.75" hidden="1">
      <c r="A287" s="65" t="s">
        <v>177</v>
      </c>
      <c r="B287" s="155" t="s">
        <v>268</v>
      </c>
      <c r="C287" s="160">
        <f>VLOOKUP(B287,CONFIGURAÇÃO!H:I,2,FALSE)</f>
      </c>
      <c r="D287" s="66">
        <v>1</v>
      </c>
      <c r="E287" s="147" t="s">
        <v>78</v>
      </c>
      <c r="F287" s="96">
        <f>VLOOKUP(E287,CONFIGURAÇÃO!E:F,2,0)</f>
      </c>
      <c r="G287" s="147" t="s">
        <v>13</v>
      </c>
      <c r="H287" s="96">
        <f>IF(G287="CORTESIA",0,D287*F287)</f>
      </c>
      <c r="I287" s="147" t="s">
        <v>19</v>
      </c>
      <c r="J287" s="149" t="s">
        <v>184</v>
      </c>
      <c r="K287" s="147" t="s">
        <v>269</v>
      </c>
      <c r="L287" s="1"/>
      <c r="M287" s="1"/>
      <c r="N287" s="3"/>
    </row>
    <row x14ac:dyDescent="0.25" r="288" customHeight="1" ht="18.75" hidden="1">
      <c r="A288" s="65" t="s">
        <v>177</v>
      </c>
      <c r="B288" s="155" t="s">
        <v>268</v>
      </c>
      <c r="C288" s="160">
        <f>VLOOKUP(B288,CONFIGURAÇÃO!H:I,2,FALSE)</f>
      </c>
      <c r="D288" s="66">
        <v>1</v>
      </c>
      <c r="E288" s="147" t="s">
        <v>183</v>
      </c>
      <c r="F288" s="96">
        <f>VLOOKUP(E288,CONFIGURAÇÃO!E:F,2,0)</f>
      </c>
      <c r="G288" s="147" t="s">
        <v>13</v>
      </c>
      <c r="H288" s="96">
        <f>IF(G288="CORTESIA",0,D288*F288)</f>
      </c>
      <c r="I288" s="147" t="s">
        <v>19</v>
      </c>
      <c r="J288" s="149" t="s">
        <v>184</v>
      </c>
      <c r="K288" s="147" t="s">
        <v>269</v>
      </c>
      <c r="L288" s="1"/>
      <c r="M288" s="1"/>
      <c r="N288" s="3"/>
    </row>
    <row x14ac:dyDescent="0.25" r="289" customHeight="1" ht="18.75" hidden="1">
      <c r="A289" s="67" t="s">
        <v>188</v>
      </c>
      <c r="B289" s="154" t="s">
        <v>268</v>
      </c>
      <c r="C289" s="160">
        <f>VLOOKUP(B289,CONFIGURAÇÃO!H:I,2,FALSE)</f>
      </c>
      <c r="D289" s="148">
        <v>2</v>
      </c>
      <c r="E289" s="149" t="s">
        <v>78</v>
      </c>
      <c r="F289" s="96">
        <f>VLOOKUP(E289,CONFIGURAÇÃO!E:F,2,0)</f>
      </c>
      <c r="G289" s="147" t="s">
        <v>13</v>
      </c>
      <c r="H289" s="96">
        <f>IF(G289="CORTESIA",0,D289*F289)</f>
      </c>
      <c r="I289" s="147" t="s">
        <v>50</v>
      </c>
      <c r="J289" s="149" t="s">
        <v>184</v>
      </c>
      <c r="K289" s="147"/>
      <c r="L289" s="1"/>
      <c r="M289" s="1"/>
      <c r="N289" s="3"/>
    </row>
    <row x14ac:dyDescent="0.25" r="290" customHeight="1" ht="18.75" hidden="1">
      <c r="A290" s="67" t="s">
        <v>172</v>
      </c>
      <c r="B290" s="154" t="s">
        <v>268</v>
      </c>
      <c r="C290" s="160">
        <f>VLOOKUP(B290,CONFIGURAÇÃO!H:I,2,FALSE)</f>
      </c>
      <c r="D290" s="148">
        <v>3</v>
      </c>
      <c r="E290" s="149" t="s">
        <v>78</v>
      </c>
      <c r="F290" s="96">
        <f>VLOOKUP(E290,CONFIGURAÇÃO!E:F,2,0)</f>
      </c>
      <c r="G290" s="147" t="s">
        <v>13</v>
      </c>
      <c r="H290" s="96">
        <f>IF(G290="CORTESIA",0,D290*F290)</f>
      </c>
      <c r="I290" s="147" t="s">
        <v>50</v>
      </c>
      <c r="J290" s="149" t="s">
        <v>184</v>
      </c>
      <c r="K290" s="147"/>
      <c r="L290" s="1"/>
      <c r="M290" s="1"/>
      <c r="N290" s="3"/>
    </row>
    <row x14ac:dyDescent="0.25" r="291" customHeight="1" ht="18.75" hidden="1">
      <c r="A291" s="65" t="s">
        <v>159</v>
      </c>
      <c r="B291" s="155" t="s">
        <v>268</v>
      </c>
      <c r="C291" s="160">
        <f>VLOOKUP(B291,CONFIGURAÇÃO!H:I,2,FALSE)</f>
      </c>
      <c r="D291" s="66">
        <v>1</v>
      </c>
      <c r="E291" s="147" t="s">
        <v>78</v>
      </c>
      <c r="F291" s="96">
        <f>VLOOKUP(E291,CONFIGURAÇÃO!E:F,2,0)</f>
      </c>
      <c r="G291" s="147" t="s">
        <v>13</v>
      </c>
      <c r="H291" s="96">
        <f>IF(G291="CORTESIA",0,D291*F291)</f>
      </c>
      <c r="I291" s="147" t="s">
        <v>19</v>
      </c>
      <c r="J291" s="149" t="s">
        <v>184</v>
      </c>
      <c r="K291" s="147" t="s">
        <v>269</v>
      </c>
      <c r="L291" s="1"/>
      <c r="M291" s="1"/>
      <c r="N291" s="3"/>
    </row>
    <row x14ac:dyDescent="0.25" r="292" customHeight="1" ht="18.75" hidden="1">
      <c r="A292" s="65" t="s">
        <v>159</v>
      </c>
      <c r="B292" s="155" t="s">
        <v>268</v>
      </c>
      <c r="C292" s="160">
        <f>VLOOKUP(B292,CONFIGURAÇÃO!H:I,2,FALSE)</f>
      </c>
      <c r="D292" s="66">
        <v>3</v>
      </c>
      <c r="E292" s="147" t="s">
        <v>72</v>
      </c>
      <c r="F292" s="96">
        <f>VLOOKUP(E292,CONFIGURAÇÃO!E:F,2,0)</f>
      </c>
      <c r="G292" s="147" t="s">
        <v>13</v>
      </c>
      <c r="H292" s="96">
        <f>IF(G292="CORTESIA",0,D292*F292)</f>
      </c>
      <c r="I292" s="147" t="s">
        <v>19</v>
      </c>
      <c r="J292" s="149" t="s">
        <v>184</v>
      </c>
      <c r="K292" s="147"/>
      <c r="L292" s="1"/>
      <c r="M292" s="1"/>
      <c r="N292" s="3"/>
    </row>
    <row x14ac:dyDescent="0.25" r="293" customHeight="1" ht="18.75" hidden="1">
      <c r="A293" s="67" t="s">
        <v>162</v>
      </c>
      <c r="B293" s="154" t="s">
        <v>268</v>
      </c>
      <c r="C293" s="160">
        <f>VLOOKUP(B293,CONFIGURAÇÃO!H:I,2,FALSE)</f>
      </c>
      <c r="D293" s="148">
        <v>2</v>
      </c>
      <c r="E293" s="149" t="s">
        <v>183</v>
      </c>
      <c r="F293" s="96">
        <f>VLOOKUP(E293,CONFIGURAÇÃO!E:F,2,0)</f>
      </c>
      <c r="G293" s="147" t="s">
        <v>13</v>
      </c>
      <c r="H293" s="96">
        <f>IF(G293="CORTESIA",0,D293*F293)</f>
      </c>
      <c r="I293" s="147" t="s">
        <v>19</v>
      </c>
      <c r="J293" s="149" t="s">
        <v>184</v>
      </c>
      <c r="K293" s="147" t="s">
        <v>269</v>
      </c>
      <c r="L293" s="1"/>
      <c r="M293" s="1"/>
      <c r="N293" s="3"/>
    </row>
    <row x14ac:dyDescent="0.25" r="294" customHeight="1" ht="18.75" hidden="1">
      <c r="A294" s="67" t="s">
        <v>163</v>
      </c>
      <c r="B294" s="154" t="s">
        <v>268</v>
      </c>
      <c r="C294" s="160">
        <f>VLOOKUP(B294,CONFIGURAÇÃO!H:I,2,FALSE)</f>
      </c>
      <c r="D294" s="148">
        <v>1</v>
      </c>
      <c r="E294" s="149" t="s">
        <v>183</v>
      </c>
      <c r="F294" s="96">
        <f>VLOOKUP(E294,CONFIGURAÇÃO!E:F,2,0)</f>
      </c>
      <c r="G294" s="147" t="s">
        <v>13</v>
      </c>
      <c r="H294" s="96">
        <f>IF(G294="CORTESIA",0,D294*F294)</f>
      </c>
      <c r="I294" s="147" t="s">
        <v>19</v>
      </c>
      <c r="J294" s="149" t="s">
        <v>184</v>
      </c>
      <c r="K294" s="147" t="s">
        <v>269</v>
      </c>
      <c r="L294" s="1"/>
      <c r="M294" s="1"/>
      <c r="N294" s="3"/>
    </row>
    <row x14ac:dyDescent="0.25" r="295" customHeight="1" ht="18.75" hidden="1">
      <c r="A295" s="65" t="s">
        <v>163</v>
      </c>
      <c r="B295" s="155" t="s">
        <v>268</v>
      </c>
      <c r="C295" s="160">
        <f>VLOOKUP(B295,CONFIGURAÇÃO!H:I,2,FALSE)</f>
      </c>
      <c r="D295" s="66">
        <v>2</v>
      </c>
      <c r="E295" s="147" t="s">
        <v>183</v>
      </c>
      <c r="F295" s="96">
        <f>VLOOKUP(E295,CONFIGURAÇÃO!E:F,2,0)</f>
      </c>
      <c r="G295" s="147" t="s">
        <v>13</v>
      </c>
      <c r="H295" s="96">
        <f>IF(G295="CORTESIA",0,D295*F295)</f>
      </c>
      <c r="I295" s="147" t="s">
        <v>50</v>
      </c>
      <c r="J295" s="149" t="s">
        <v>184</v>
      </c>
      <c r="K295" s="147"/>
      <c r="L295" s="1"/>
      <c r="M295" s="1"/>
      <c r="N295" s="3"/>
    </row>
    <row x14ac:dyDescent="0.25" r="296" customHeight="1" ht="18.75" hidden="1">
      <c r="A296" s="67" t="s">
        <v>164</v>
      </c>
      <c r="B296" s="154" t="s">
        <v>268</v>
      </c>
      <c r="C296" s="160">
        <f>VLOOKUP(B296,CONFIGURAÇÃO!H:I,2,FALSE)</f>
      </c>
      <c r="D296" s="148">
        <v>2</v>
      </c>
      <c r="E296" s="149" t="s">
        <v>183</v>
      </c>
      <c r="F296" s="96">
        <f>VLOOKUP(E296,CONFIGURAÇÃO!E:F,2,0)</f>
      </c>
      <c r="G296" s="147" t="s">
        <v>13</v>
      </c>
      <c r="H296" s="96">
        <f>IF(G296="CORTESIA",0,D296*F296)</f>
      </c>
      <c r="I296" s="147" t="s">
        <v>19</v>
      </c>
      <c r="J296" s="149" t="s">
        <v>184</v>
      </c>
      <c r="K296" s="147" t="s">
        <v>269</v>
      </c>
      <c r="L296" s="1"/>
      <c r="M296" s="1"/>
      <c r="N296" s="3"/>
    </row>
    <row x14ac:dyDescent="0.25" r="297" customHeight="1" ht="18.75" hidden="1">
      <c r="A297" s="67" t="s">
        <v>164</v>
      </c>
      <c r="B297" s="154" t="s">
        <v>268</v>
      </c>
      <c r="C297" s="160">
        <f>VLOOKUP(B297,CONFIGURAÇÃO!H:I,2,FALSE)</f>
      </c>
      <c r="D297" s="148">
        <v>1</v>
      </c>
      <c r="E297" s="149" t="s">
        <v>78</v>
      </c>
      <c r="F297" s="96">
        <f>VLOOKUP(E297,CONFIGURAÇÃO!E:F,2,0)</f>
      </c>
      <c r="G297" s="147" t="s">
        <v>13</v>
      </c>
      <c r="H297" s="96">
        <f>IF(G297="CORTESIA",0,D297*F297)</f>
      </c>
      <c r="I297" s="147" t="s">
        <v>19</v>
      </c>
      <c r="J297" s="149" t="s">
        <v>184</v>
      </c>
      <c r="K297" s="147" t="s">
        <v>269</v>
      </c>
      <c r="L297" s="1"/>
      <c r="M297" s="1"/>
      <c r="N297" s="3"/>
    </row>
    <row x14ac:dyDescent="0.25" r="298" customHeight="1" ht="18.75" hidden="1">
      <c r="A298" s="67" t="s">
        <v>189</v>
      </c>
      <c r="B298" s="154" t="s">
        <v>268</v>
      </c>
      <c r="C298" s="160">
        <f>VLOOKUP(B298,CONFIGURAÇÃO!H:I,2,FALSE)</f>
      </c>
      <c r="D298" s="148">
        <v>1</v>
      </c>
      <c r="E298" s="149" t="s">
        <v>72</v>
      </c>
      <c r="F298" s="96">
        <f>VLOOKUP(E298,CONFIGURAÇÃO!E:F,2,0)</f>
      </c>
      <c r="G298" s="147" t="s">
        <v>13</v>
      </c>
      <c r="H298" s="96">
        <f>IF(G298="CORTESIA",0,D298*F298)</f>
      </c>
      <c r="I298" s="147" t="s">
        <v>19</v>
      </c>
      <c r="J298" s="147" t="s">
        <v>184</v>
      </c>
      <c r="K298" s="147" t="s">
        <v>269</v>
      </c>
      <c r="L298" s="1"/>
      <c r="M298" s="1"/>
      <c r="N298" s="3"/>
    </row>
    <row x14ac:dyDescent="0.25" r="299" customHeight="1" ht="18.75" hidden="1">
      <c r="A299" s="67" t="s">
        <v>178</v>
      </c>
      <c r="B299" s="154" t="s">
        <v>270</v>
      </c>
      <c r="C299" s="160">
        <f>VLOOKUP(B299,CONFIGURAÇÃO!H:I,2,FALSE)</f>
      </c>
      <c r="D299" s="148">
        <v>1</v>
      </c>
      <c r="E299" s="149" t="s">
        <v>72</v>
      </c>
      <c r="F299" s="96">
        <f>VLOOKUP(E299,CONFIGURAÇÃO!E:F,2,0)</f>
      </c>
      <c r="G299" s="147" t="s">
        <v>73</v>
      </c>
      <c r="H299" s="96">
        <f>IF(G299="CORTESIA",0,D299*F299)</f>
      </c>
      <c r="I299" s="147" t="s">
        <v>50</v>
      </c>
      <c r="J299" s="149" t="s">
        <v>184</v>
      </c>
      <c r="K299" s="147"/>
      <c r="L299" s="1"/>
      <c r="M299" s="1"/>
      <c r="N299" s="3"/>
    </row>
    <row x14ac:dyDescent="0.25" r="300" customHeight="1" ht="18.75" hidden="1">
      <c r="A300" s="67" t="s">
        <v>175</v>
      </c>
      <c r="B300" s="154" t="s">
        <v>270</v>
      </c>
      <c r="C300" s="160">
        <f>VLOOKUP(B300,CONFIGURAÇÃO!H:I,2,FALSE)</f>
      </c>
      <c r="D300" s="148">
        <v>1</v>
      </c>
      <c r="E300" s="149" t="s">
        <v>72</v>
      </c>
      <c r="F300" s="96">
        <f>VLOOKUP(E300,CONFIGURAÇÃO!E:F,2,0)</f>
      </c>
      <c r="G300" s="147" t="s">
        <v>73</v>
      </c>
      <c r="H300" s="96">
        <f>IF(G300="CORTESIA",0,D300*F300)</f>
      </c>
      <c r="I300" s="147" t="s">
        <v>50</v>
      </c>
      <c r="J300" s="149" t="s">
        <v>184</v>
      </c>
      <c r="K300" s="147"/>
      <c r="L300" s="1"/>
      <c r="M300" s="1"/>
      <c r="N300" s="3"/>
    </row>
    <row x14ac:dyDescent="0.25" r="301" customHeight="1" ht="18.75" hidden="1">
      <c r="A301" s="67" t="s">
        <v>188</v>
      </c>
      <c r="B301" s="154" t="s">
        <v>270</v>
      </c>
      <c r="C301" s="160">
        <f>VLOOKUP(B301,CONFIGURAÇÃO!H:I,2,FALSE)</f>
      </c>
      <c r="D301" s="148">
        <v>1</v>
      </c>
      <c r="E301" s="149" t="s">
        <v>72</v>
      </c>
      <c r="F301" s="96">
        <f>VLOOKUP(E301,CONFIGURAÇÃO!E:F,2,0)</f>
      </c>
      <c r="G301" s="147" t="s">
        <v>13</v>
      </c>
      <c r="H301" s="96">
        <f>IF(G301="CORTESIA",0,D301*F301)</f>
      </c>
      <c r="I301" s="147" t="s">
        <v>19</v>
      </c>
      <c r="J301" s="149" t="s">
        <v>184</v>
      </c>
      <c r="K301" s="147"/>
      <c r="L301" s="1"/>
      <c r="M301" s="1"/>
      <c r="N301" s="3"/>
    </row>
    <row x14ac:dyDescent="0.25" r="302" customHeight="1" ht="18.75" hidden="1">
      <c r="A302" s="67" t="s">
        <v>163</v>
      </c>
      <c r="B302" s="154" t="s">
        <v>270</v>
      </c>
      <c r="C302" s="160">
        <f>VLOOKUP(B302,CONFIGURAÇÃO!H:I,2,FALSE)</f>
      </c>
      <c r="D302" s="148">
        <v>1</v>
      </c>
      <c r="E302" s="149" t="s">
        <v>183</v>
      </c>
      <c r="F302" s="96">
        <f>VLOOKUP(E302,CONFIGURAÇÃO!E:F,2,0)</f>
      </c>
      <c r="G302" s="147" t="s">
        <v>13</v>
      </c>
      <c r="H302" s="96">
        <f>IF(G302="CORTESIA",0,D302*F302)</f>
      </c>
      <c r="I302" s="147" t="s">
        <v>19</v>
      </c>
      <c r="J302" s="149" t="s">
        <v>184</v>
      </c>
      <c r="K302" s="147"/>
      <c r="L302" s="1"/>
      <c r="M302" s="1"/>
      <c r="N302" s="3"/>
    </row>
    <row x14ac:dyDescent="0.25" r="303" customHeight="1" ht="18.75" hidden="1">
      <c r="A303" s="67" t="s">
        <v>179</v>
      </c>
      <c r="B303" s="154" t="s">
        <v>271</v>
      </c>
      <c r="C303" s="160">
        <f>VLOOKUP(B303,CONFIGURAÇÃO!H:I,2,FALSE)</f>
      </c>
      <c r="D303" s="148">
        <v>1</v>
      </c>
      <c r="E303" s="149" t="s">
        <v>78</v>
      </c>
      <c r="F303" s="96">
        <f>VLOOKUP(E303,CONFIGURAÇÃO!E:F,2,0)</f>
      </c>
      <c r="G303" s="147" t="s">
        <v>73</v>
      </c>
      <c r="H303" s="96">
        <f>IF(G303="CORTESIA",0,D303*F303)</f>
      </c>
      <c r="I303" s="147" t="s">
        <v>50</v>
      </c>
      <c r="J303" s="149" t="s">
        <v>184</v>
      </c>
      <c r="K303" s="147"/>
      <c r="L303" s="1"/>
      <c r="M303" s="1"/>
      <c r="N303" s="3"/>
    </row>
    <row x14ac:dyDescent="0.25" r="304" customHeight="1" ht="18.75" hidden="1">
      <c r="A304" s="65" t="s">
        <v>159</v>
      </c>
      <c r="B304" s="155" t="s">
        <v>272</v>
      </c>
      <c r="C304" s="160">
        <f>VLOOKUP(B304,CONFIGURAÇÃO!H:I,2,FALSE)</f>
      </c>
      <c r="D304" s="66">
        <v>1</v>
      </c>
      <c r="E304" s="147" t="s">
        <v>72</v>
      </c>
      <c r="F304" s="96">
        <f>VLOOKUP(E304,CONFIGURAÇÃO!E:F,2,0)</f>
      </c>
      <c r="G304" s="147" t="s">
        <v>13</v>
      </c>
      <c r="H304" s="96">
        <f>IF(G304="CORTESIA",0,D304*F304)</f>
      </c>
      <c r="I304" s="147" t="s">
        <v>59</v>
      </c>
      <c r="J304" s="149" t="s">
        <v>184</v>
      </c>
      <c r="K304" s="147"/>
      <c r="L304" s="1"/>
      <c r="M304" s="1"/>
      <c r="N304" s="3"/>
    </row>
    <row x14ac:dyDescent="0.25" r="305" customHeight="1" ht="18.75" hidden="1">
      <c r="A305" s="67" t="s">
        <v>189</v>
      </c>
      <c r="B305" s="154" t="s">
        <v>273</v>
      </c>
      <c r="C305" s="160">
        <f>VLOOKUP(B305,CONFIGURAÇÃO!H:I,2,FALSE)</f>
      </c>
      <c r="D305" s="148">
        <v>1</v>
      </c>
      <c r="E305" s="149" t="s">
        <v>72</v>
      </c>
      <c r="F305" s="96">
        <f>VLOOKUP(E305,CONFIGURAÇÃO!E:F,2,0)</f>
      </c>
      <c r="G305" s="147" t="s">
        <v>13</v>
      </c>
      <c r="H305" s="96">
        <f>IF(G305="CORTESIA",0,D305*F305)</f>
      </c>
      <c r="I305" s="147" t="s">
        <v>19</v>
      </c>
      <c r="J305" s="149" t="s">
        <v>74</v>
      </c>
      <c r="K305" s="147" t="s">
        <v>223</v>
      </c>
      <c r="L305" s="1"/>
      <c r="M305" s="1"/>
      <c r="N305" s="3"/>
    </row>
    <row x14ac:dyDescent="0.25" r="306" customHeight="1" ht="18.75" hidden="1">
      <c r="A306" s="65" t="s">
        <v>159</v>
      </c>
      <c r="B306" s="155" t="s">
        <v>274</v>
      </c>
      <c r="C306" s="160">
        <f>VLOOKUP(B306,CONFIGURAÇÃO!H:I,2,FALSE)</f>
      </c>
      <c r="D306" s="66">
        <v>1</v>
      </c>
      <c r="E306" s="147" t="s">
        <v>72</v>
      </c>
      <c r="F306" s="96">
        <f>VLOOKUP(E306,CONFIGURAÇÃO!E:F,2,0)</f>
      </c>
      <c r="G306" s="147" t="s">
        <v>13</v>
      </c>
      <c r="H306" s="96">
        <f>IF(G306="CORTESIA",0,D306*F306)</f>
      </c>
      <c r="I306" s="147" t="s">
        <v>19</v>
      </c>
      <c r="J306" s="149" t="s">
        <v>184</v>
      </c>
      <c r="K306" s="147"/>
      <c r="L306" s="1"/>
      <c r="M306" s="1"/>
      <c r="N306" s="3"/>
    </row>
    <row x14ac:dyDescent="0.25" r="307" customHeight="1" ht="18.75" hidden="1">
      <c r="A307" s="67" t="s">
        <v>164</v>
      </c>
      <c r="B307" s="154" t="s">
        <v>274</v>
      </c>
      <c r="C307" s="160">
        <f>VLOOKUP(B307,CONFIGURAÇÃO!H:I,2,FALSE)</f>
      </c>
      <c r="D307" s="148">
        <v>1</v>
      </c>
      <c r="E307" s="149" t="s">
        <v>183</v>
      </c>
      <c r="F307" s="96">
        <f>VLOOKUP(E307,CONFIGURAÇÃO!E:F,2,0)</f>
      </c>
      <c r="G307" s="147" t="s">
        <v>13</v>
      </c>
      <c r="H307" s="96">
        <f>IF(G307="CORTESIA",0,D307*F307)+2</f>
      </c>
      <c r="I307" s="147" t="s">
        <v>19</v>
      </c>
      <c r="J307" s="149" t="s">
        <v>184</v>
      </c>
      <c r="K307" s="147" t="s">
        <v>275</v>
      </c>
      <c r="L307" s="1"/>
      <c r="M307" s="1"/>
      <c r="N307" s="3"/>
    </row>
    <row x14ac:dyDescent="0.25" r="308" customHeight="1" ht="18.75" hidden="1">
      <c r="A308" s="65" t="s">
        <v>159</v>
      </c>
      <c r="B308" s="155" t="s">
        <v>138</v>
      </c>
      <c r="C308" s="160">
        <f>VLOOKUP(B308,CONFIGURAÇÃO!H:I,2,FALSE)</f>
      </c>
      <c r="D308" s="66">
        <v>1</v>
      </c>
      <c r="E308" s="147" t="s">
        <v>72</v>
      </c>
      <c r="F308" s="96">
        <f>VLOOKUP(E308,CONFIGURAÇÃO!E:F,2,0)</f>
      </c>
      <c r="G308" s="147" t="s">
        <v>13</v>
      </c>
      <c r="H308" s="96">
        <f>IF(G308="CORTESIA",0,D308*F308)</f>
      </c>
      <c r="I308" s="147" t="s">
        <v>22</v>
      </c>
      <c r="J308" s="149" t="s">
        <v>184</v>
      </c>
      <c r="K308" s="147"/>
      <c r="L308" s="1"/>
      <c r="M308" s="1"/>
      <c r="N308" s="3"/>
    </row>
    <row x14ac:dyDescent="0.25" r="309" customHeight="1" ht="18.75" hidden="1">
      <c r="A309" s="65" t="s">
        <v>205</v>
      </c>
      <c r="B309" s="155" t="s">
        <v>138</v>
      </c>
      <c r="C309" s="160">
        <f>VLOOKUP(B309,CONFIGURAÇÃO!H:I,2,FALSE)</f>
      </c>
      <c r="D309" s="66">
        <v>1</v>
      </c>
      <c r="E309" s="147" t="s">
        <v>72</v>
      </c>
      <c r="F309" s="96">
        <f>VLOOKUP(E309,CONFIGURAÇÃO!E:F,2,0)</f>
      </c>
      <c r="G309" s="147" t="s">
        <v>13</v>
      </c>
      <c r="H309" s="96">
        <f>IF(G309="CORTESIA",0,D309*F309)</f>
      </c>
      <c r="I309" s="147" t="s">
        <v>22</v>
      </c>
      <c r="J309" s="149" t="s">
        <v>184</v>
      </c>
      <c r="K309" s="147"/>
      <c r="L309" s="1"/>
      <c r="M309" s="1"/>
      <c r="N309" s="3"/>
    </row>
    <row x14ac:dyDescent="0.25" r="310" customHeight="1" ht="18.75" hidden="1">
      <c r="A310" s="65" t="s">
        <v>205</v>
      </c>
      <c r="B310" s="155" t="s">
        <v>138</v>
      </c>
      <c r="C310" s="160">
        <f>VLOOKUP(B310,CONFIGURAÇÃO!H:I,2,FALSE)</f>
      </c>
      <c r="D310" s="66">
        <v>1</v>
      </c>
      <c r="E310" s="147" t="s">
        <v>72</v>
      </c>
      <c r="F310" s="96">
        <f>VLOOKUP(E310,CONFIGURAÇÃO!E:F,2,0)</f>
      </c>
      <c r="G310" s="147" t="s">
        <v>52</v>
      </c>
      <c r="H310" s="96">
        <f>IF(G310="CORTESIA",0,D310*F310)</f>
      </c>
      <c r="I310" s="147" t="s">
        <v>22</v>
      </c>
      <c r="J310" s="149" t="s">
        <v>184</v>
      </c>
      <c r="K310" s="147"/>
      <c r="L310" s="1"/>
      <c r="M310" s="1"/>
      <c r="N310" s="3"/>
    </row>
    <row x14ac:dyDescent="0.25" r="311" customHeight="1" ht="18.75" hidden="1">
      <c r="A311" s="67" t="s">
        <v>162</v>
      </c>
      <c r="B311" s="154" t="s">
        <v>138</v>
      </c>
      <c r="C311" s="160">
        <f>VLOOKUP(B311,CONFIGURAÇÃO!H:I,2,FALSE)</f>
      </c>
      <c r="D311" s="148">
        <v>1</v>
      </c>
      <c r="E311" s="149" t="s">
        <v>72</v>
      </c>
      <c r="F311" s="96">
        <f>VLOOKUP(E311,CONFIGURAÇÃO!E:F,2,0)</f>
      </c>
      <c r="G311" s="147" t="s">
        <v>13</v>
      </c>
      <c r="H311" s="96">
        <f>IF(G311="CORTESIA",0,D311*F311)</f>
      </c>
      <c r="I311" s="147" t="s">
        <v>22</v>
      </c>
      <c r="J311" s="149" t="s">
        <v>184</v>
      </c>
      <c r="K311" s="147"/>
      <c r="L311" s="1"/>
      <c r="M311" s="1"/>
      <c r="N311" s="3"/>
    </row>
    <row x14ac:dyDescent="0.25" r="312" customHeight="1" ht="18.75" hidden="1">
      <c r="A312" s="67">
        <v>45750</v>
      </c>
      <c r="B312" s="154" t="s">
        <v>276</v>
      </c>
      <c r="C312" s="160">
        <f>VLOOKUP(B312,CONFIGURAÇÃO!H:I,2,FALSE)</f>
      </c>
      <c r="D312" s="148">
        <v>2</v>
      </c>
      <c r="E312" s="149" t="s">
        <v>78</v>
      </c>
      <c r="F312" s="96">
        <f>VLOOKUP(E312,CONFIGURAÇÃO!E:F,2,0)</f>
      </c>
      <c r="G312" s="147" t="s">
        <v>13</v>
      </c>
      <c r="H312" s="96">
        <f>IF(G312="CORTESIA",0,D312*F312)</f>
      </c>
      <c r="I312" s="147" t="s">
        <v>19</v>
      </c>
      <c r="J312" s="149" t="s">
        <v>184</v>
      </c>
      <c r="K312" s="147"/>
      <c r="L312" s="1"/>
      <c r="M312" s="1"/>
      <c r="N312" s="3"/>
    </row>
    <row x14ac:dyDescent="0.25" r="313" customHeight="1" ht="18.75" hidden="1">
      <c r="A313" s="65" t="s">
        <v>164</v>
      </c>
      <c r="B313" s="155" t="s">
        <v>277</v>
      </c>
      <c r="C313" s="160">
        <f>VLOOKUP(B313,CONFIGURAÇÃO!H:I,2,FALSE)</f>
      </c>
      <c r="D313" s="66">
        <v>1</v>
      </c>
      <c r="E313" s="147" t="s">
        <v>183</v>
      </c>
      <c r="F313" s="96">
        <f>VLOOKUP(E313,CONFIGURAÇÃO!E:F,2,0)</f>
      </c>
      <c r="G313" s="147" t="s">
        <v>73</v>
      </c>
      <c r="H313" s="96">
        <f>IF(G313="CORTESIA",0,D313*F313)</f>
      </c>
      <c r="I313" s="147" t="s">
        <v>50</v>
      </c>
      <c r="J313" s="149" t="s">
        <v>184</v>
      </c>
      <c r="K313" s="147"/>
      <c r="L313" s="1"/>
      <c r="M313" s="1"/>
      <c r="N313" s="3"/>
    </row>
    <row x14ac:dyDescent="0.25" r="314" customHeight="1" ht="18.75" hidden="1">
      <c r="A314" s="65" t="s">
        <v>164</v>
      </c>
      <c r="B314" s="155" t="s">
        <v>278</v>
      </c>
      <c r="C314" s="160">
        <f>VLOOKUP(B314,CONFIGURAÇÃO!H:I,2,FALSE)</f>
      </c>
      <c r="D314" s="66">
        <v>1</v>
      </c>
      <c r="E314" s="147" t="s">
        <v>78</v>
      </c>
      <c r="F314" s="96">
        <f>VLOOKUP(E314,CONFIGURAÇÃO!E:F,2,0)</f>
      </c>
      <c r="G314" s="147" t="s">
        <v>13</v>
      </c>
      <c r="H314" s="96">
        <f>IF(G314="CORTESIA",0,D314*F314)</f>
      </c>
      <c r="I314" s="147" t="s">
        <v>50</v>
      </c>
      <c r="J314" s="149" t="s">
        <v>184</v>
      </c>
      <c r="K314" s="147"/>
      <c r="L314" s="1"/>
      <c r="M314" s="1"/>
      <c r="N314" s="3"/>
    </row>
    <row x14ac:dyDescent="0.25" r="315" customHeight="1" ht="18.75" hidden="1">
      <c r="A315" s="67">
        <v>45750</v>
      </c>
      <c r="B315" s="154" t="s">
        <v>279</v>
      </c>
      <c r="C315" s="160">
        <f>VLOOKUP(B315,CONFIGURAÇÃO!H:I,2,FALSE)</f>
      </c>
      <c r="D315" s="148">
        <v>1</v>
      </c>
      <c r="E315" s="149" t="s">
        <v>78</v>
      </c>
      <c r="F315" s="96">
        <f>VLOOKUP(E315,CONFIGURAÇÃO!E:F,2,0)</f>
      </c>
      <c r="G315" s="147" t="s">
        <v>13</v>
      </c>
      <c r="H315" s="96">
        <f>IF(G315="CORTESIA",0,D315*F315)</f>
      </c>
      <c r="I315" s="147" t="s">
        <v>19</v>
      </c>
      <c r="J315" s="149" t="s">
        <v>184</v>
      </c>
      <c r="K315" s="147"/>
      <c r="L315" s="1"/>
      <c r="M315" s="1"/>
      <c r="N315" s="3"/>
    </row>
    <row x14ac:dyDescent="0.25" r="316" customHeight="1" ht="18.75" hidden="1">
      <c r="A316" s="67" t="s">
        <v>198</v>
      </c>
      <c r="B316" s="154" t="s">
        <v>280</v>
      </c>
      <c r="C316" s="160">
        <f>VLOOKUP(B316,CONFIGURAÇÃO!H:I,2,FALSE)</f>
      </c>
      <c r="D316" s="148">
        <v>1</v>
      </c>
      <c r="E316" s="149" t="s">
        <v>183</v>
      </c>
      <c r="F316" s="96">
        <f>VLOOKUP(E316,CONFIGURAÇÃO!E:F,2,0)</f>
      </c>
      <c r="G316" s="147" t="s">
        <v>73</v>
      </c>
      <c r="H316" s="96">
        <f>IF(G316="CORTESIA",0,D316*F316)</f>
      </c>
      <c r="I316" s="147" t="s">
        <v>50</v>
      </c>
      <c r="J316" s="149" t="s">
        <v>184</v>
      </c>
      <c r="K316" s="147"/>
      <c r="L316" s="1"/>
      <c r="M316" s="1"/>
      <c r="N316" s="3"/>
    </row>
    <row x14ac:dyDescent="0.25" r="317" customHeight="1" ht="18.75" hidden="1">
      <c r="A317" s="65" t="s">
        <v>189</v>
      </c>
      <c r="B317" s="155" t="s">
        <v>280</v>
      </c>
      <c r="C317" s="160">
        <f>VLOOKUP(B317,CONFIGURAÇÃO!H:I,2,FALSE)</f>
      </c>
      <c r="D317" s="66">
        <v>1</v>
      </c>
      <c r="E317" s="147" t="s">
        <v>72</v>
      </c>
      <c r="F317" s="96">
        <f>VLOOKUP(E317,CONFIGURAÇÃO!E:F,2,0)</f>
      </c>
      <c r="G317" s="147" t="s">
        <v>73</v>
      </c>
      <c r="H317" s="96">
        <f>IF(G317="CORTESIA",0,D317*F317)</f>
      </c>
      <c r="I317" s="147" t="s">
        <v>50</v>
      </c>
      <c r="J317" s="147"/>
      <c r="K317" s="147"/>
      <c r="L317" s="1"/>
      <c r="M317" s="1"/>
      <c r="N317" s="3"/>
    </row>
    <row x14ac:dyDescent="0.25" r="318" customHeight="1" ht="18.75" hidden="1">
      <c r="A318" s="65" t="s">
        <v>189</v>
      </c>
      <c r="B318" s="155" t="s">
        <v>280</v>
      </c>
      <c r="C318" s="160">
        <f>VLOOKUP(B318,CONFIGURAÇÃO!H:I,2,FALSE)</f>
      </c>
      <c r="D318" s="66">
        <v>1</v>
      </c>
      <c r="E318" s="147" t="s">
        <v>78</v>
      </c>
      <c r="F318" s="96">
        <f>VLOOKUP(E318,CONFIGURAÇÃO!E:F,2,0)</f>
      </c>
      <c r="G318" s="147" t="s">
        <v>73</v>
      </c>
      <c r="H318" s="96">
        <f>IF(G318="CORTESIA",0,D318*F318)</f>
      </c>
      <c r="I318" s="147" t="s">
        <v>50</v>
      </c>
      <c r="J318" s="147"/>
      <c r="K318" s="147"/>
      <c r="L318" s="1"/>
      <c r="M318" s="1"/>
      <c r="N318" s="3"/>
    </row>
    <row x14ac:dyDescent="0.25" r="319" customHeight="1" ht="18.75" hidden="1">
      <c r="A319" s="67" t="s">
        <v>175</v>
      </c>
      <c r="B319" s="154" t="s">
        <v>281</v>
      </c>
      <c r="C319" s="160">
        <f>VLOOKUP(B319,CONFIGURAÇÃO!H:I,2,FALSE)</f>
      </c>
      <c r="D319" s="148">
        <v>1</v>
      </c>
      <c r="E319" s="149" t="s">
        <v>72</v>
      </c>
      <c r="F319" s="96">
        <f>VLOOKUP(E319,CONFIGURAÇÃO!E:F,2,0)</f>
      </c>
      <c r="G319" s="147" t="s">
        <v>13</v>
      </c>
      <c r="H319" s="96">
        <f>IF(G319="CORTESIA",0,D319*F319)</f>
      </c>
      <c r="I319" s="147" t="s">
        <v>50</v>
      </c>
      <c r="J319" s="149" t="s">
        <v>184</v>
      </c>
      <c r="K319" s="147"/>
      <c r="L319" s="1"/>
      <c r="M319" s="1"/>
      <c r="N319" s="3"/>
    </row>
    <row x14ac:dyDescent="0.25" r="320" customHeight="1" ht="18.75" hidden="1">
      <c r="A320" s="65" t="s">
        <v>163</v>
      </c>
      <c r="B320" s="155" t="s">
        <v>282</v>
      </c>
      <c r="C320" s="160">
        <f>VLOOKUP(B320,CONFIGURAÇÃO!H:I,2,FALSE)</f>
      </c>
      <c r="D320" s="66">
        <v>1</v>
      </c>
      <c r="E320" s="147" t="s">
        <v>78</v>
      </c>
      <c r="F320" s="96">
        <f>VLOOKUP(E320,CONFIGURAÇÃO!E:F,2,0)</f>
      </c>
      <c r="G320" s="147" t="s">
        <v>73</v>
      </c>
      <c r="H320" s="96">
        <f>IF(G320="CORTESIA",0,D320*F320)</f>
      </c>
      <c r="I320" s="147" t="s">
        <v>50</v>
      </c>
      <c r="J320" s="149" t="s">
        <v>184</v>
      </c>
      <c r="K320" s="147"/>
      <c r="L320" s="1"/>
      <c r="M320" s="1"/>
      <c r="N320" s="3"/>
    </row>
    <row x14ac:dyDescent="0.25" r="321" customHeight="1" ht="18.75" hidden="1">
      <c r="A321" s="67">
        <v>45740</v>
      </c>
      <c r="B321" s="154" t="s">
        <v>283</v>
      </c>
      <c r="C321" s="160">
        <f>VLOOKUP(B321,CONFIGURAÇÃO!H:I,2,FALSE)</f>
      </c>
      <c r="D321" s="148">
        <v>1</v>
      </c>
      <c r="E321" s="149" t="s">
        <v>72</v>
      </c>
      <c r="F321" s="96">
        <f>VLOOKUP(E321,CONFIGURAÇÃO!E:F,2,0)</f>
      </c>
      <c r="G321" s="147" t="s">
        <v>52</v>
      </c>
      <c r="H321" s="96">
        <f>IF(G321="CORTESIA",0,D321*F321)</f>
      </c>
      <c r="I321" s="147" t="s">
        <v>50</v>
      </c>
      <c r="J321" s="149" t="s">
        <v>184</v>
      </c>
      <c r="K321" s="147"/>
      <c r="L321" s="1"/>
      <c r="M321" s="1"/>
      <c r="N321" s="3"/>
    </row>
    <row x14ac:dyDescent="0.25" r="322" customHeight="1" ht="18.75" hidden="1">
      <c r="A322" s="65">
        <v>45661</v>
      </c>
      <c r="B322" s="155" t="s">
        <v>284</v>
      </c>
      <c r="C322" s="160">
        <f>VLOOKUP(B322,CONFIGURAÇÃO!H:I,2,FALSE)</f>
      </c>
      <c r="D322" s="66">
        <v>1</v>
      </c>
      <c r="E322" s="147" t="s">
        <v>72</v>
      </c>
      <c r="F322" s="96">
        <f>VLOOKUP(E322,CONFIGURAÇÃO!E:F,2,0)</f>
      </c>
      <c r="G322" s="147" t="s">
        <v>13</v>
      </c>
      <c r="H322" s="96">
        <f>IF(G322="CORTESIA",0,D322*F322)</f>
      </c>
      <c r="I322" s="147" t="s">
        <v>50</v>
      </c>
      <c r="J322" s="149" t="s">
        <v>184</v>
      </c>
      <c r="K322" s="147"/>
      <c r="L322" s="1"/>
      <c r="M322" s="1"/>
      <c r="N322" s="3"/>
    </row>
    <row x14ac:dyDescent="0.25" r="323" customHeight="1" ht="18.75" hidden="1">
      <c r="A323" s="67">
        <v>45740</v>
      </c>
      <c r="B323" s="154" t="s">
        <v>284</v>
      </c>
      <c r="C323" s="160">
        <f>VLOOKUP(B323,CONFIGURAÇÃO!H:I,2,FALSE)</f>
      </c>
      <c r="D323" s="148">
        <v>1</v>
      </c>
      <c r="E323" s="149" t="s">
        <v>78</v>
      </c>
      <c r="F323" s="96">
        <f>VLOOKUP(E323,CONFIGURAÇÃO!E:F,2,0)</f>
      </c>
      <c r="G323" s="147" t="s">
        <v>13</v>
      </c>
      <c r="H323" s="96">
        <f>IF(G323="CORTESIA",0,D323*F323)</f>
      </c>
      <c r="I323" s="147" t="s">
        <v>50</v>
      </c>
      <c r="J323" s="149" t="s">
        <v>184</v>
      </c>
      <c r="K323" s="147"/>
      <c r="L323" s="1"/>
      <c r="M323" s="1"/>
      <c r="N323" s="3"/>
    </row>
    <row x14ac:dyDescent="0.25" r="324" customHeight="1" ht="18.75" hidden="1">
      <c r="A324" s="67">
        <v>45740</v>
      </c>
      <c r="B324" s="154" t="s">
        <v>284</v>
      </c>
      <c r="C324" s="160">
        <f>VLOOKUP(B324,CONFIGURAÇÃO!H:I,2,FALSE)</f>
      </c>
      <c r="D324" s="148">
        <v>1</v>
      </c>
      <c r="E324" s="149" t="s">
        <v>72</v>
      </c>
      <c r="F324" s="96">
        <f>VLOOKUP(E324,CONFIGURAÇÃO!E:F,2,0)</f>
      </c>
      <c r="G324" s="147" t="s">
        <v>13</v>
      </c>
      <c r="H324" s="96">
        <f>IF(G324="CORTESIA",0,D324*F324)</f>
      </c>
      <c r="I324" s="147" t="s">
        <v>50</v>
      </c>
      <c r="J324" s="149" t="s">
        <v>184</v>
      </c>
      <c r="K324" s="147"/>
      <c r="L324" s="1"/>
      <c r="M324" s="1"/>
      <c r="N324" s="3"/>
    </row>
    <row x14ac:dyDescent="0.25" r="325" customHeight="1" ht="18.75" hidden="1">
      <c r="A325" s="65" t="s">
        <v>177</v>
      </c>
      <c r="B325" s="155" t="s">
        <v>284</v>
      </c>
      <c r="C325" s="160">
        <f>VLOOKUP(B325,CONFIGURAÇÃO!H:I,2,FALSE)</f>
      </c>
      <c r="D325" s="66">
        <v>1</v>
      </c>
      <c r="E325" s="147" t="s">
        <v>78</v>
      </c>
      <c r="F325" s="96">
        <f>VLOOKUP(E325,CONFIGURAÇÃO!E:F,2,0)</f>
      </c>
      <c r="G325" s="147" t="s">
        <v>13</v>
      </c>
      <c r="H325" s="96">
        <f>IF(G325="CORTESIA",0,D325*F325)</f>
      </c>
      <c r="I325" s="147" t="s">
        <v>19</v>
      </c>
      <c r="J325" s="149" t="s">
        <v>184</v>
      </c>
      <c r="K325" s="147" t="s">
        <v>223</v>
      </c>
      <c r="L325" s="1"/>
      <c r="M325" s="1"/>
      <c r="N325" s="3"/>
    </row>
    <row x14ac:dyDescent="0.25" r="326" customHeight="1" ht="18.75" hidden="1">
      <c r="A326" s="67" t="s">
        <v>172</v>
      </c>
      <c r="B326" s="154" t="s">
        <v>284</v>
      </c>
      <c r="C326" s="160">
        <f>VLOOKUP(B326,CONFIGURAÇÃO!H:I,2,FALSE)</f>
      </c>
      <c r="D326" s="148">
        <v>1</v>
      </c>
      <c r="E326" s="149" t="s">
        <v>78</v>
      </c>
      <c r="F326" s="96">
        <f>VLOOKUP(E326,CONFIGURAÇÃO!E:F,2,0)</f>
      </c>
      <c r="G326" s="147" t="s">
        <v>13</v>
      </c>
      <c r="H326" s="96">
        <f>IF(G326="CORTESIA",0,D326*F326)</f>
      </c>
      <c r="I326" s="147" t="s">
        <v>50</v>
      </c>
      <c r="J326" s="149" t="s">
        <v>184</v>
      </c>
      <c r="K326" s="147"/>
      <c r="L326" s="1"/>
      <c r="M326" s="1"/>
      <c r="N326" s="3"/>
    </row>
    <row x14ac:dyDescent="0.25" r="327" customHeight="1" ht="18.75" hidden="1">
      <c r="A327" s="67" t="s">
        <v>159</v>
      </c>
      <c r="B327" s="154" t="s">
        <v>284</v>
      </c>
      <c r="C327" s="160">
        <f>VLOOKUP(B327,CONFIGURAÇÃO!H:I,2,FALSE)</f>
      </c>
      <c r="D327" s="148">
        <v>1</v>
      </c>
      <c r="E327" s="149" t="s">
        <v>78</v>
      </c>
      <c r="F327" s="96">
        <f>VLOOKUP(E327,CONFIGURAÇÃO!E:F,2,0)</f>
      </c>
      <c r="G327" s="147" t="s">
        <v>13</v>
      </c>
      <c r="H327" s="96">
        <f>IF(G327="CORTESIA",0,D327*F327)</f>
      </c>
      <c r="I327" s="147" t="s">
        <v>50</v>
      </c>
      <c r="J327" s="149" t="s">
        <v>184</v>
      </c>
      <c r="K327" s="147"/>
      <c r="L327" s="1"/>
      <c r="M327" s="1"/>
      <c r="N327" s="3"/>
    </row>
    <row x14ac:dyDescent="0.25" r="328" customHeight="1" ht="18.75" hidden="1">
      <c r="A328" s="65" t="s">
        <v>180</v>
      </c>
      <c r="B328" s="155" t="s">
        <v>284</v>
      </c>
      <c r="C328" s="160">
        <f>VLOOKUP(B328,CONFIGURAÇÃO!H:I,2,FALSE)</f>
      </c>
      <c r="D328" s="66">
        <v>2</v>
      </c>
      <c r="E328" s="147" t="s">
        <v>78</v>
      </c>
      <c r="F328" s="96">
        <f>VLOOKUP(E328,CONFIGURAÇÃO!E:F,2,0)</f>
      </c>
      <c r="G328" s="147" t="s">
        <v>13</v>
      </c>
      <c r="H328" s="96">
        <f>IF(G328="CORTESIA",0,D328*F328)</f>
      </c>
      <c r="I328" s="147" t="s">
        <v>50</v>
      </c>
      <c r="J328" s="147"/>
      <c r="K328" s="147"/>
      <c r="L328" s="1"/>
      <c r="M328" s="1"/>
      <c r="N328" s="3"/>
    </row>
    <row x14ac:dyDescent="0.25" r="329" customHeight="1" ht="18.75" hidden="1">
      <c r="A329" s="67">
        <v>45749</v>
      </c>
      <c r="B329" s="154" t="s">
        <v>285</v>
      </c>
      <c r="C329" s="160">
        <f>VLOOKUP(B329,CONFIGURAÇÃO!H:I,2,FALSE)</f>
      </c>
      <c r="D329" s="148">
        <v>1</v>
      </c>
      <c r="E329" s="149" t="s">
        <v>183</v>
      </c>
      <c r="F329" s="96">
        <f>VLOOKUP(E329,CONFIGURAÇÃO!E:F,2,0)</f>
      </c>
      <c r="G329" s="147" t="s">
        <v>13</v>
      </c>
      <c r="H329" s="96">
        <f>IF(G329="CORTESIA",0,D329*F329)</f>
      </c>
      <c r="I329" s="147" t="s">
        <v>22</v>
      </c>
      <c r="J329" s="149" t="s">
        <v>184</v>
      </c>
      <c r="K329" s="147"/>
      <c r="L329" s="1"/>
      <c r="M329" s="1"/>
      <c r="N329" s="3"/>
    </row>
    <row x14ac:dyDescent="0.25" r="330" customHeight="1" ht="18.75" hidden="1">
      <c r="A330" s="67" t="s">
        <v>198</v>
      </c>
      <c r="B330" s="154" t="s">
        <v>286</v>
      </c>
      <c r="C330" s="160">
        <f>VLOOKUP(B330,CONFIGURAÇÃO!H:I,2,FALSE)</f>
      </c>
      <c r="D330" s="148">
        <v>2</v>
      </c>
      <c r="E330" s="149" t="s">
        <v>183</v>
      </c>
      <c r="F330" s="96">
        <f>VLOOKUP(E330,CONFIGURAÇÃO!E:F,2,0)</f>
      </c>
      <c r="G330" s="147" t="s">
        <v>13</v>
      </c>
      <c r="H330" s="96">
        <f>IF(G330="CORTESIA",0,D330*F330)</f>
      </c>
      <c r="I330" s="147" t="s">
        <v>50</v>
      </c>
      <c r="J330" s="149" t="s">
        <v>184</v>
      </c>
      <c r="K330" s="147"/>
      <c r="L330" s="1"/>
      <c r="M330" s="1"/>
      <c r="N330" s="3"/>
    </row>
    <row x14ac:dyDescent="0.25" r="331" customHeight="1" ht="18.75" hidden="1">
      <c r="A331" s="67" t="s">
        <v>160</v>
      </c>
      <c r="B331" s="154" t="s">
        <v>286</v>
      </c>
      <c r="C331" s="160">
        <f>VLOOKUP(B331,CONFIGURAÇÃO!H:I,2,FALSE)</f>
      </c>
      <c r="D331" s="148">
        <v>1</v>
      </c>
      <c r="E331" s="149" t="s">
        <v>78</v>
      </c>
      <c r="F331" s="96">
        <f>VLOOKUP(E331,CONFIGURAÇÃO!E:F,2,0)</f>
      </c>
      <c r="G331" s="147" t="s">
        <v>13</v>
      </c>
      <c r="H331" s="96">
        <f>IF(G331="CORTESIA",0,D331*F331)</f>
      </c>
      <c r="I331" s="147" t="s">
        <v>50</v>
      </c>
      <c r="J331" s="149" t="s">
        <v>184</v>
      </c>
      <c r="K331" s="147"/>
      <c r="L331" s="1"/>
      <c r="M331" s="1"/>
      <c r="N331" s="3"/>
    </row>
    <row x14ac:dyDescent="0.25" r="332" customHeight="1" ht="18.75" hidden="1">
      <c r="A332" s="67" t="s">
        <v>160</v>
      </c>
      <c r="B332" s="154" t="s">
        <v>286</v>
      </c>
      <c r="C332" s="160">
        <f>VLOOKUP(B332,CONFIGURAÇÃO!H:I,2,FALSE)</f>
      </c>
      <c r="D332" s="148">
        <v>1</v>
      </c>
      <c r="E332" s="149" t="s">
        <v>183</v>
      </c>
      <c r="F332" s="96">
        <f>VLOOKUP(E332,CONFIGURAÇÃO!E:F,2,0)</f>
      </c>
      <c r="G332" s="147" t="s">
        <v>13</v>
      </c>
      <c r="H332" s="96">
        <f>IF(G332="CORTESIA",0,D332*F332)</f>
      </c>
      <c r="I332" s="147" t="s">
        <v>50</v>
      </c>
      <c r="J332" s="149" t="s">
        <v>184</v>
      </c>
      <c r="K332" s="147"/>
      <c r="L332" s="1"/>
      <c r="M332" s="1"/>
      <c r="N332" s="3"/>
    </row>
    <row x14ac:dyDescent="0.25" r="333" customHeight="1" ht="18.75" hidden="1">
      <c r="A333" s="67" t="s">
        <v>179</v>
      </c>
      <c r="B333" s="154" t="s">
        <v>286</v>
      </c>
      <c r="C333" s="160">
        <f>VLOOKUP(B333,CONFIGURAÇÃO!H:I,2,FALSE)</f>
      </c>
      <c r="D333" s="148">
        <v>1</v>
      </c>
      <c r="E333" s="149" t="s">
        <v>78</v>
      </c>
      <c r="F333" s="96">
        <f>VLOOKUP(E333,CONFIGURAÇÃO!E:F,2,0)</f>
      </c>
      <c r="G333" s="147" t="s">
        <v>13</v>
      </c>
      <c r="H333" s="96">
        <f>IF(G333="CORTESIA",0,D333*F333)</f>
      </c>
      <c r="I333" s="147" t="s">
        <v>50</v>
      </c>
      <c r="J333" s="149" t="s">
        <v>184</v>
      </c>
      <c r="K333" s="147"/>
      <c r="L333" s="1"/>
      <c r="M333" s="1"/>
      <c r="N333" s="3"/>
    </row>
    <row x14ac:dyDescent="0.25" r="334" customHeight="1" ht="18.75" hidden="1">
      <c r="A334" s="65" t="s">
        <v>162</v>
      </c>
      <c r="B334" s="155" t="s">
        <v>286</v>
      </c>
      <c r="C334" s="160">
        <f>VLOOKUP(B334,CONFIGURAÇÃO!H:I,2,FALSE)</f>
      </c>
      <c r="D334" s="66">
        <v>2</v>
      </c>
      <c r="E334" s="147" t="s">
        <v>78</v>
      </c>
      <c r="F334" s="96">
        <f>VLOOKUP(E334,CONFIGURAÇÃO!E:F,2,0)</f>
      </c>
      <c r="G334" s="147" t="s">
        <v>13</v>
      </c>
      <c r="H334" s="96">
        <f>IF(G334="CORTESIA",0,D334*F334)</f>
      </c>
      <c r="I334" s="147" t="s">
        <v>50</v>
      </c>
      <c r="J334" s="149" t="s">
        <v>184</v>
      </c>
      <c r="K334" s="147"/>
      <c r="L334" s="1"/>
      <c r="M334" s="1"/>
      <c r="N334" s="3"/>
    </row>
    <row x14ac:dyDescent="0.25" r="335" customHeight="1" ht="18.75" hidden="1">
      <c r="A335" s="65" t="s">
        <v>189</v>
      </c>
      <c r="B335" s="155" t="s">
        <v>286</v>
      </c>
      <c r="C335" s="160">
        <f>VLOOKUP(B335,CONFIGURAÇÃO!H:I,2,FALSE)</f>
      </c>
      <c r="D335" s="66">
        <v>1</v>
      </c>
      <c r="E335" s="147" t="s">
        <v>72</v>
      </c>
      <c r="F335" s="96">
        <f>VLOOKUP(E335,CONFIGURAÇÃO!E:F,2,0)</f>
      </c>
      <c r="G335" s="147" t="s">
        <v>13</v>
      </c>
      <c r="H335" s="96">
        <f>IF(G335="CORTESIA",0,D335*F335)</f>
      </c>
      <c r="I335" s="147" t="s">
        <v>50</v>
      </c>
      <c r="J335" s="147"/>
      <c r="K335" s="147"/>
      <c r="L335" s="1"/>
      <c r="M335" s="1"/>
      <c r="N335" s="3"/>
    </row>
    <row x14ac:dyDescent="0.25" r="336" customHeight="1" ht="18.75" hidden="1">
      <c r="A336" s="65" t="s">
        <v>189</v>
      </c>
      <c r="B336" s="155" t="s">
        <v>286</v>
      </c>
      <c r="C336" s="160">
        <f>VLOOKUP(B336,CONFIGURAÇÃO!H:I,2,FALSE)</f>
      </c>
      <c r="D336" s="66">
        <v>1</v>
      </c>
      <c r="E336" s="147" t="s">
        <v>78</v>
      </c>
      <c r="F336" s="96">
        <f>VLOOKUP(E336,CONFIGURAÇÃO!E:F,2,0)</f>
      </c>
      <c r="G336" s="147" t="s">
        <v>13</v>
      </c>
      <c r="H336" s="96">
        <f>IF(G336="CORTESIA",0,D336*F336)</f>
      </c>
      <c r="I336" s="147" t="s">
        <v>50</v>
      </c>
      <c r="J336" s="147"/>
      <c r="K336" s="147"/>
      <c r="L336" s="1"/>
      <c r="M336" s="1"/>
      <c r="N336" s="3"/>
    </row>
    <row x14ac:dyDescent="0.25" r="337" customHeight="1" ht="18.75" hidden="1">
      <c r="A337" s="65" t="s">
        <v>159</v>
      </c>
      <c r="B337" s="155" t="s">
        <v>287</v>
      </c>
      <c r="C337" s="160">
        <f>VLOOKUP(B337,CONFIGURAÇÃO!H:I,2,FALSE)</f>
      </c>
      <c r="D337" s="66">
        <v>1</v>
      </c>
      <c r="E337" s="147" t="s">
        <v>78</v>
      </c>
      <c r="F337" s="96">
        <f>VLOOKUP(E337,CONFIGURAÇÃO!E:F,2,0)</f>
      </c>
      <c r="G337" s="147" t="s">
        <v>13</v>
      </c>
      <c r="H337" s="96">
        <f>IF(G337="CORTESIA",0,D337*F337)</f>
      </c>
      <c r="I337" s="147" t="s">
        <v>22</v>
      </c>
      <c r="J337" s="149" t="s">
        <v>184</v>
      </c>
      <c r="K337" s="147"/>
      <c r="L337" s="1"/>
      <c r="M337" s="1"/>
      <c r="N337" s="3"/>
    </row>
    <row x14ac:dyDescent="0.25" r="338" customHeight="1" ht="18.75" hidden="1">
      <c r="A338" s="65" t="s">
        <v>159</v>
      </c>
      <c r="B338" s="155" t="s">
        <v>287</v>
      </c>
      <c r="C338" s="160">
        <f>VLOOKUP(B338,CONFIGURAÇÃO!H:I,2,FALSE)</f>
      </c>
      <c r="D338" s="66">
        <v>3</v>
      </c>
      <c r="E338" s="147" t="s">
        <v>72</v>
      </c>
      <c r="F338" s="96">
        <f>VLOOKUP(E338,CONFIGURAÇÃO!E:F,2,0)</f>
      </c>
      <c r="G338" s="147" t="s">
        <v>13</v>
      </c>
      <c r="H338" s="96">
        <f>IF(G338="CORTESIA",0,D338*F338)</f>
      </c>
      <c r="I338" s="147" t="s">
        <v>22</v>
      </c>
      <c r="J338" s="149" t="s">
        <v>184</v>
      </c>
      <c r="K338" s="147"/>
      <c r="L338" s="1"/>
      <c r="M338" s="1"/>
      <c r="N338" s="3"/>
    </row>
    <row x14ac:dyDescent="0.25" r="339" customHeight="1" ht="18.75" hidden="1">
      <c r="A339" s="65" t="s">
        <v>205</v>
      </c>
      <c r="B339" s="155" t="s">
        <v>287</v>
      </c>
      <c r="C339" s="160">
        <f>VLOOKUP(B339,CONFIGURAÇÃO!H:I,2,FALSE)</f>
      </c>
      <c r="D339" s="66">
        <v>2</v>
      </c>
      <c r="E339" s="147" t="s">
        <v>72</v>
      </c>
      <c r="F339" s="96">
        <f>VLOOKUP(E339,CONFIGURAÇÃO!E:F,2,0)</f>
      </c>
      <c r="G339" s="147" t="s">
        <v>13</v>
      </c>
      <c r="H339" s="96">
        <f>IF(G339="CORTESIA",0,D339*F339)</f>
      </c>
      <c r="I339" s="147" t="s">
        <v>22</v>
      </c>
      <c r="J339" s="149" t="s">
        <v>184</v>
      </c>
      <c r="K339" s="147"/>
      <c r="L339" s="1"/>
      <c r="M339" s="1"/>
      <c r="N339" s="3"/>
    </row>
    <row x14ac:dyDescent="0.25" r="340" customHeight="1" ht="18.75" hidden="1">
      <c r="A340" s="67" t="s">
        <v>163</v>
      </c>
      <c r="B340" s="154" t="s">
        <v>287</v>
      </c>
      <c r="C340" s="160">
        <f>VLOOKUP(B340,CONFIGURAÇÃO!H:I,2,FALSE)</f>
      </c>
      <c r="D340" s="148">
        <v>2</v>
      </c>
      <c r="E340" s="149" t="s">
        <v>183</v>
      </c>
      <c r="F340" s="96">
        <f>VLOOKUP(E340,CONFIGURAÇÃO!E:F,2,0)</f>
      </c>
      <c r="G340" s="147" t="s">
        <v>13</v>
      </c>
      <c r="H340" s="96">
        <f>IF(G340="CORTESIA",0,D340*F340)</f>
      </c>
      <c r="I340" s="147" t="s">
        <v>22</v>
      </c>
      <c r="J340" s="149" t="s">
        <v>184</v>
      </c>
      <c r="K340" s="147"/>
      <c r="L340" s="1"/>
      <c r="M340" s="1"/>
      <c r="N340" s="3"/>
    </row>
    <row x14ac:dyDescent="0.25" r="341" customHeight="1" ht="18.75" hidden="1">
      <c r="A341" s="67" t="s">
        <v>163</v>
      </c>
      <c r="B341" s="154" t="s">
        <v>287</v>
      </c>
      <c r="C341" s="160">
        <f>VLOOKUP(B341,CONFIGURAÇÃO!H:I,2,FALSE)</f>
      </c>
      <c r="D341" s="148">
        <v>1</v>
      </c>
      <c r="E341" s="149" t="s">
        <v>78</v>
      </c>
      <c r="F341" s="96">
        <f>VLOOKUP(E341,CONFIGURAÇÃO!E:F,2,0)</f>
      </c>
      <c r="G341" s="147" t="s">
        <v>13</v>
      </c>
      <c r="H341" s="96">
        <f>IF(G341="CORTESIA",0,D341*F341)</f>
      </c>
      <c r="I341" s="147" t="s">
        <v>22</v>
      </c>
      <c r="J341" s="149" t="s">
        <v>184</v>
      </c>
      <c r="K341" s="147"/>
      <c r="L341" s="1"/>
      <c r="M341" s="1"/>
      <c r="N341" s="3"/>
    </row>
    <row x14ac:dyDescent="0.25" r="342" customHeight="1" ht="18.75" hidden="1">
      <c r="A342" s="67" t="s">
        <v>164</v>
      </c>
      <c r="B342" s="154" t="s">
        <v>287</v>
      </c>
      <c r="C342" s="160">
        <f>VLOOKUP(B342,CONFIGURAÇÃO!H:I,2,FALSE)</f>
      </c>
      <c r="D342" s="148">
        <v>1</v>
      </c>
      <c r="E342" s="149" t="s">
        <v>78</v>
      </c>
      <c r="F342" s="96">
        <f>VLOOKUP(E342,CONFIGURAÇÃO!E:F,2,0)</f>
      </c>
      <c r="G342" s="147" t="s">
        <v>13</v>
      </c>
      <c r="H342" s="96">
        <f>IF(G342="CORTESIA",0,D342*F342)</f>
      </c>
      <c r="I342" s="147" t="s">
        <v>22</v>
      </c>
      <c r="J342" s="149" t="s">
        <v>184</v>
      </c>
      <c r="K342" s="147"/>
      <c r="L342" s="1"/>
      <c r="M342" s="1"/>
      <c r="N342" s="3"/>
    </row>
    <row x14ac:dyDescent="0.25" r="343" customHeight="1" ht="18.75" hidden="1">
      <c r="A343" s="67" t="s">
        <v>164</v>
      </c>
      <c r="B343" s="154" t="s">
        <v>287</v>
      </c>
      <c r="C343" s="160">
        <f>VLOOKUP(B343,CONFIGURAÇÃO!H:I,2,FALSE)</f>
      </c>
      <c r="D343" s="148">
        <v>1</v>
      </c>
      <c r="E343" s="149" t="s">
        <v>183</v>
      </c>
      <c r="F343" s="96">
        <f>VLOOKUP(E343,CONFIGURAÇÃO!E:F,2,0)</f>
      </c>
      <c r="G343" s="147" t="s">
        <v>13</v>
      </c>
      <c r="H343" s="96">
        <f>IF(G343="CORTESIA",0,D343*F343)</f>
      </c>
      <c r="I343" s="147" t="s">
        <v>22</v>
      </c>
      <c r="J343" s="149" t="s">
        <v>184</v>
      </c>
      <c r="K343" s="147"/>
      <c r="L343" s="1"/>
      <c r="M343" s="1"/>
      <c r="N343" s="3"/>
    </row>
    <row x14ac:dyDescent="0.25" r="344" customHeight="1" ht="18.75" hidden="1">
      <c r="A344" s="65" t="s">
        <v>228</v>
      </c>
      <c r="B344" s="155" t="s">
        <v>288</v>
      </c>
      <c r="C344" s="160">
        <f>VLOOKUP(B344,CONFIGURAÇÃO!H:I,2,FALSE)</f>
      </c>
      <c r="D344" s="66">
        <v>1</v>
      </c>
      <c r="E344" s="147" t="s">
        <v>72</v>
      </c>
      <c r="F344" s="96">
        <f>VLOOKUP(E344,CONFIGURAÇÃO!E:F,2,0)</f>
      </c>
      <c r="G344" s="147" t="s">
        <v>13</v>
      </c>
      <c r="H344" s="96">
        <f>IF(G344="CORTESIA",0,D344*F344)</f>
      </c>
      <c r="I344" s="147" t="s">
        <v>19</v>
      </c>
      <c r="J344" s="149" t="s">
        <v>184</v>
      </c>
      <c r="K344" s="147" t="s">
        <v>289</v>
      </c>
      <c r="L344" s="1"/>
      <c r="M344" s="1"/>
      <c r="N344" s="3"/>
    </row>
    <row x14ac:dyDescent="0.25" r="345" customHeight="1" ht="18.75" hidden="1">
      <c r="A345" s="67">
        <v>45749</v>
      </c>
      <c r="B345" s="154" t="s">
        <v>119</v>
      </c>
      <c r="C345" s="160">
        <f>VLOOKUP(B345,CONFIGURAÇÃO!H:I,2,FALSE)</f>
      </c>
      <c r="D345" s="148">
        <v>1</v>
      </c>
      <c r="E345" s="149" t="s">
        <v>183</v>
      </c>
      <c r="F345" s="96">
        <f>VLOOKUP(E345,CONFIGURAÇÃO!E:F,2,0)</f>
      </c>
      <c r="G345" s="147" t="s">
        <v>13</v>
      </c>
      <c r="H345" s="96">
        <f>IF(G345="CORTESIA",0,D345*F345)</f>
      </c>
      <c r="I345" s="147" t="s">
        <v>22</v>
      </c>
      <c r="J345" s="149" t="s">
        <v>184</v>
      </c>
      <c r="K345" s="147"/>
      <c r="L345" s="1"/>
      <c r="M345" s="1"/>
      <c r="N345" s="3"/>
    </row>
    <row x14ac:dyDescent="0.25" r="346" customHeight="1" ht="18.75" hidden="1">
      <c r="A346" s="65" t="s">
        <v>188</v>
      </c>
      <c r="B346" s="155" t="s">
        <v>290</v>
      </c>
      <c r="C346" s="160">
        <f>VLOOKUP(B346,CONFIGURAÇÃO!H:I,2,FALSE)</f>
      </c>
      <c r="D346" s="66">
        <v>1</v>
      </c>
      <c r="E346" s="147" t="s">
        <v>78</v>
      </c>
      <c r="F346" s="96">
        <f>VLOOKUP(E346,CONFIGURAÇÃO!E:F,2,0)</f>
      </c>
      <c r="G346" s="147" t="s">
        <v>13</v>
      </c>
      <c r="H346" s="96">
        <f>IF(G346="CORTESIA",0,D346*F346)</f>
      </c>
      <c r="I346" s="147" t="s">
        <v>22</v>
      </c>
      <c r="J346" s="149" t="s">
        <v>184</v>
      </c>
      <c r="K346" s="147"/>
      <c r="L346" s="1"/>
      <c r="M346" s="1"/>
      <c r="N346" s="3"/>
    </row>
    <row x14ac:dyDescent="0.25" r="347" customHeight="1" ht="18.75" hidden="1">
      <c r="A347" s="65" t="s">
        <v>172</v>
      </c>
      <c r="B347" s="155" t="s">
        <v>290</v>
      </c>
      <c r="C347" s="160">
        <f>VLOOKUP(B347,CONFIGURAÇÃO!H:I,2,FALSE)</f>
      </c>
      <c r="D347" s="66">
        <v>1</v>
      </c>
      <c r="E347" s="147" t="s">
        <v>78</v>
      </c>
      <c r="F347" s="96">
        <f>VLOOKUP(E347,CONFIGURAÇÃO!E:F,2,0)</f>
      </c>
      <c r="G347" s="147" t="s">
        <v>13</v>
      </c>
      <c r="H347" s="96">
        <f>IF(G347="CORTESIA",0,D347*F347)</f>
      </c>
      <c r="I347" s="147" t="s">
        <v>22</v>
      </c>
      <c r="J347" s="149" t="s">
        <v>184</v>
      </c>
      <c r="K347" s="147"/>
      <c r="L347" s="1"/>
      <c r="M347" s="1"/>
      <c r="N347" s="3"/>
    </row>
    <row x14ac:dyDescent="0.25" r="348" customHeight="1" ht="18.75" hidden="1">
      <c r="A348" s="65" t="s">
        <v>159</v>
      </c>
      <c r="B348" s="155" t="s">
        <v>290</v>
      </c>
      <c r="C348" s="160">
        <f>VLOOKUP(B348,CONFIGURAÇÃO!H:I,2,FALSE)</f>
      </c>
      <c r="D348" s="66">
        <v>1</v>
      </c>
      <c r="E348" s="147" t="s">
        <v>78</v>
      </c>
      <c r="F348" s="96">
        <f>VLOOKUP(E348,CONFIGURAÇÃO!E:F,2,0)</f>
      </c>
      <c r="G348" s="147" t="s">
        <v>13</v>
      </c>
      <c r="H348" s="96">
        <f>IF(G348="CORTESIA",0,D348*F348)</f>
      </c>
      <c r="I348" s="147" t="s">
        <v>22</v>
      </c>
      <c r="J348" s="149" t="s">
        <v>184</v>
      </c>
      <c r="K348" s="147"/>
      <c r="L348" s="1"/>
      <c r="M348" s="1"/>
      <c r="N348" s="3"/>
    </row>
    <row x14ac:dyDescent="0.25" r="349" customHeight="1" ht="18.75" hidden="1">
      <c r="A349" s="67" t="s">
        <v>164</v>
      </c>
      <c r="B349" s="154" t="s">
        <v>290</v>
      </c>
      <c r="C349" s="160">
        <f>VLOOKUP(B349,CONFIGURAÇÃO!H:I,2,FALSE)</f>
      </c>
      <c r="D349" s="148">
        <v>1</v>
      </c>
      <c r="E349" s="149" t="s">
        <v>78</v>
      </c>
      <c r="F349" s="96">
        <f>VLOOKUP(E349,CONFIGURAÇÃO!E:F,2,0)</f>
      </c>
      <c r="G349" s="147" t="s">
        <v>13</v>
      </c>
      <c r="H349" s="96">
        <f>IF(G349="CORTESIA",0,D349*F349)</f>
      </c>
      <c r="I349" s="147" t="s">
        <v>22</v>
      </c>
      <c r="J349" s="149" t="s">
        <v>184</v>
      </c>
      <c r="K349" s="147"/>
      <c r="L349" s="1"/>
      <c r="M349" s="1"/>
      <c r="N349" s="3"/>
    </row>
    <row x14ac:dyDescent="0.25" r="350" customHeight="1" ht="18.75">
      <c r="A350" s="67">
        <v>45740</v>
      </c>
      <c r="B350" s="154" t="s">
        <v>170</v>
      </c>
      <c r="C350" s="160">
        <f>VLOOKUP(B350,CONFIGURAÇÃO!H:I,2,FALSE)</f>
      </c>
      <c r="D350" s="148">
        <v>1</v>
      </c>
      <c r="E350" s="149" t="s">
        <v>72</v>
      </c>
      <c r="F350" s="96">
        <f>VLOOKUP(E350,CONFIGURAÇÃO!E:F,2,0)</f>
      </c>
      <c r="G350" s="147" t="s">
        <v>291</v>
      </c>
      <c r="H350" s="96">
        <f>IF(G350="CORTESIA",0,D350*F350)</f>
      </c>
      <c r="I350" s="147" t="s">
        <v>50</v>
      </c>
      <c r="J350" s="149" t="s">
        <v>184</v>
      </c>
      <c r="K350" s="147"/>
      <c r="L350" s="1"/>
      <c r="M350" s="1"/>
      <c r="N350" s="3"/>
    </row>
    <row x14ac:dyDescent="0.25" r="351" customHeight="1" ht="18.75">
      <c r="A351" s="67">
        <v>45740</v>
      </c>
      <c r="B351" s="154" t="s">
        <v>170</v>
      </c>
      <c r="C351" s="160">
        <f>VLOOKUP(B351,CONFIGURAÇÃO!H:I,2,FALSE)</f>
      </c>
      <c r="D351" s="148">
        <v>1</v>
      </c>
      <c r="E351" s="149" t="s">
        <v>171</v>
      </c>
      <c r="F351" s="96">
        <f>VLOOKUP(E351,CONFIGURAÇÃO!E:F,2,0)</f>
      </c>
      <c r="G351" s="147" t="s">
        <v>291</v>
      </c>
      <c r="H351" s="96">
        <f>IF(G351="CORTESIA",0,D351*F351)</f>
      </c>
      <c r="I351" s="147" t="s">
        <v>50</v>
      </c>
      <c r="J351" s="149" t="s">
        <v>184</v>
      </c>
      <c r="K351" s="147"/>
      <c r="L351" s="1"/>
      <c r="M351" s="1"/>
      <c r="N351" s="3"/>
    </row>
    <row x14ac:dyDescent="0.25" r="352" customHeight="1" ht="18.75" hidden="1">
      <c r="A352" s="65">
        <v>45749</v>
      </c>
      <c r="B352" s="155" t="s">
        <v>170</v>
      </c>
      <c r="C352" s="160">
        <f>VLOOKUP(B352,CONFIGURAÇÃO!H:I,2,FALSE)</f>
      </c>
      <c r="D352" s="66">
        <v>3</v>
      </c>
      <c r="E352" s="147" t="s">
        <v>183</v>
      </c>
      <c r="F352" s="96">
        <f>VLOOKUP(E352,CONFIGURAÇÃO!E:F,2,0)</f>
      </c>
      <c r="G352" s="147" t="s">
        <v>13</v>
      </c>
      <c r="H352" s="96">
        <f>IF(G352="CORTESIA",0,D352*F352)</f>
      </c>
      <c r="I352" s="147" t="s">
        <v>50</v>
      </c>
      <c r="J352" s="149" t="s">
        <v>184</v>
      </c>
      <c r="K352" s="147"/>
      <c r="L352" s="1"/>
      <c r="M352" s="1"/>
      <c r="N352" s="3"/>
    </row>
    <row x14ac:dyDescent="0.25" r="353" customHeight="1" ht="18.75" hidden="1">
      <c r="A353" s="67">
        <v>45750</v>
      </c>
      <c r="B353" s="154" t="s">
        <v>170</v>
      </c>
      <c r="C353" s="160">
        <f>VLOOKUP(B353,CONFIGURAÇÃO!H:I,2,FALSE)</f>
      </c>
      <c r="D353" s="148">
        <v>2</v>
      </c>
      <c r="E353" s="149" t="s">
        <v>78</v>
      </c>
      <c r="F353" s="96">
        <f>VLOOKUP(E353,CONFIGURAÇÃO!E:F,2,0)</f>
      </c>
      <c r="G353" s="147" t="s">
        <v>13</v>
      </c>
      <c r="H353" s="96">
        <f>IF(G353="CORTESIA",0,D353*F353)</f>
      </c>
      <c r="I353" s="147" t="s">
        <v>19</v>
      </c>
      <c r="J353" s="149" t="s">
        <v>184</v>
      </c>
      <c r="K353" s="147"/>
      <c r="L353" s="1"/>
      <c r="M353" s="1"/>
      <c r="N353" s="3"/>
    </row>
    <row x14ac:dyDescent="0.25" r="354" customHeight="1" ht="18.75" hidden="1">
      <c r="A354" s="67" t="s">
        <v>198</v>
      </c>
      <c r="B354" s="154" t="s">
        <v>170</v>
      </c>
      <c r="C354" s="160">
        <f>VLOOKUP(B354,CONFIGURAÇÃO!H:I,2,FALSE)</f>
      </c>
      <c r="D354" s="148">
        <v>4</v>
      </c>
      <c r="E354" s="149" t="s">
        <v>183</v>
      </c>
      <c r="F354" s="96">
        <f>VLOOKUP(E354,CONFIGURAÇÃO!E:F,2,0)</f>
      </c>
      <c r="G354" s="147" t="s">
        <v>13</v>
      </c>
      <c r="H354" s="96">
        <f>IF(G354="CORTESIA",0,D354*F354)</f>
      </c>
      <c r="I354" s="147" t="s">
        <v>50</v>
      </c>
      <c r="J354" s="149" t="s">
        <v>184</v>
      </c>
      <c r="K354" s="147"/>
      <c r="L354" s="1"/>
      <c r="M354" s="1"/>
      <c r="N354" s="3"/>
    </row>
    <row x14ac:dyDescent="0.25" r="355" customHeight="1" ht="18.75">
      <c r="A355" s="67" t="s">
        <v>172</v>
      </c>
      <c r="B355" s="154" t="s">
        <v>170</v>
      </c>
      <c r="C355" s="160">
        <f>VLOOKUP(B355,CONFIGURAÇÃO!H:I,2,FALSE)</f>
      </c>
      <c r="D355" s="148">
        <v>2</v>
      </c>
      <c r="E355" s="149" t="s">
        <v>183</v>
      </c>
      <c r="F355" s="96">
        <f>VLOOKUP(E355,CONFIGURAÇÃO!E:F,2,0)</f>
      </c>
      <c r="G355" s="147" t="s">
        <v>291</v>
      </c>
      <c r="H355" s="96">
        <f>IF(G355="CORTESIA",0,D355*F355)</f>
      </c>
      <c r="I355" s="147" t="s">
        <v>50</v>
      </c>
      <c r="J355" s="149" t="s">
        <v>184</v>
      </c>
      <c r="K355" s="147"/>
      <c r="L355" s="1"/>
      <c r="M355" s="1"/>
      <c r="N355" s="3"/>
    </row>
    <row x14ac:dyDescent="0.25" r="356" customHeight="1" ht="18.75">
      <c r="A356" s="67" t="s">
        <v>159</v>
      </c>
      <c r="B356" s="154" t="s">
        <v>170</v>
      </c>
      <c r="C356" s="160">
        <f>VLOOKUP(B356,CONFIGURAÇÃO!H:I,2,FALSE)</f>
      </c>
      <c r="D356" s="148">
        <v>2</v>
      </c>
      <c r="E356" s="149" t="s">
        <v>78</v>
      </c>
      <c r="F356" s="96">
        <f>VLOOKUP(E356,CONFIGURAÇÃO!E:F,2,0)</f>
      </c>
      <c r="G356" s="147" t="s">
        <v>291</v>
      </c>
      <c r="H356" s="96">
        <f>IF(G356="CORTESIA",0,D356*F356)-4</f>
      </c>
      <c r="I356" s="147" t="s">
        <v>50</v>
      </c>
      <c r="J356" s="149" t="s">
        <v>184</v>
      </c>
      <c r="K356" s="147" t="s">
        <v>292</v>
      </c>
      <c r="L356" s="1"/>
      <c r="M356" s="1"/>
      <c r="N356" s="3"/>
    </row>
    <row x14ac:dyDescent="0.25" r="357" customHeight="1" ht="18.75" hidden="1">
      <c r="A357" s="67" t="s">
        <v>160</v>
      </c>
      <c r="B357" s="154" t="s">
        <v>170</v>
      </c>
      <c r="C357" s="160">
        <f>VLOOKUP(B357,CONFIGURAÇÃO!H:I,2,FALSE)</f>
      </c>
      <c r="D357" s="148">
        <v>1</v>
      </c>
      <c r="E357" s="149" t="s">
        <v>183</v>
      </c>
      <c r="F357" s="96">
        <f>VLOOKUP(E357,CONFIGURAÇÃO!E:F,2,0)</f>
      </c>
      <c r="G357" s="147" t="s">
        <v>13</v>
      </c>
      <c r="H357" s="96">
        <f>IF(G357="CORTESIA",0,D357*F357)+4</f>
      </c>
      <c r="I357" s="147" t="s">
        <v>50</v>
      </c>
      <c r="J357" s="149" t="s">
        <v>184</v>
      </c>
      <c r="K357" s="147" t="s">
        <v>292</v>
      </c>
      <c r="L357" s="1"/>
      <c r="M357" s="1"/>
      <c r="N357" s="3"/>
    </row>
    <row x14ac:dyDescent="0.25" r="358" customHeight="1" ht="18.75">
      <c r="A358" s="65" t="s">
        <v>163</v>
      </c>
      <c r="B358" s="155" t="s">
        <v>170</v>
      </c>
      <c r="C358" s="160">
        <f>VLOOKUP(B358,CONFIGURAÇÃO!H:I,2,FALSE)</f>
      </c>
      <c r="D358" s="66">
        <v>2</v>
      </c>
      <c r="E358" s="147" t="s">
        <v>183</v>
      </c>
      <c r="F358" s="96">
        <f>VLOOKUP(E358,CONFIGURAÇÃO!E:F,2,0)</f>
      </c>
      <c r="G358" s="147" t="s">
        <v>291</v>
      </c>
      <c r="H358" s="96">
        <f>IF(G358="CORTESIA",0,D358*F358)</f>
      </c>
      <c r="I358" s="147" t="s">
        <v>50</v>
      </c>
      <c r="J358" s="149" t="s">
        <v>184</v>
      </c>
      <c r="K358" s="147"/>
      <c r="L358" s="1"/>
      <c r="M358" s="1"/>
      <c r="N358" s="3"/>
    </row>
    <row x14ac:dyDescent="0.25" r="359" customHeight="1" ht="18.75" hidden="1">
      <c r="A359" s="65" t="s">
        <v>180</v>
      </c>
      <c r="B359" s="155" t="s">
        <v>170</v>
      </c>
      <c r="C359" s="160">
        <f>VLOOKUP(B359,CONFIGURAÇÃO!H:I,2,FALSE)</f>
      </c>
      <c r="D359" s="66">
        <v>1</v>
      </c>
      <c r="E359" s="147" t="s">
        <v>78</v>
      </c>
      <c r="F359" s="96">
        <f>VLOOKUP(E359,CONFIGURAÇÃO!E:F,2,0)</f>
      </c>
      <c r="G359" s="147" t="s">
        <v>13</v>
      </c>
      <c r="H359" s="96">
        <f>IF(G359="CORTESIA",0,D359*F359)</f>
      </c>
      <c r="I359" s="147" t="s">
        <v>50</v>
      </c>
      <c r="J359" s="147"/>
      <c r="K359" s="147"/>
      <c r="L359" s="1"/>
      <c r="M359" s="1"/>
      <c r="N359" s="3"/>
    </row>
    <row x14ac:dyDescent="0.25" r="360" customHeight="1" ht="18.75" hidden="1">
      <c r="A360" s="67" t="s">
        <v>179</v>
      </c>
      <c r="B360" s="154" t="s">
        <v>293</v>
      </c>
      <c r="C360" s="160">
        <f>VLOOKUP(B360,CONFIGURAÇÃO!H:I,2,FALSE)</f>
      </c>
      <c r="D360" s="148">
        <v>1</v>
      </c>
      <c r="E360" s="149" t="s">
        <v>78</v>
      </c>
      <c r="F360" s="96">
        <f>VLOOKUP(E360,CONFIGURAÇÃO!E:F,2,0)</f>
      </c>
      <c r="G360" s="147" t="s">
        <v>13</v>
      </c>
      <c r="H360" s="96">
        <f>IF(G360="CORTESIA",0,D360*F360)</f>
      </c>
      <c r="I360" s="147" t="s">
        <v>50</v>
      </c>
      <c r="J360" s="149" t="s">
        <v>184</v>
      </c>
      <c r="K360" s="147"/>
      <c r="L360" s="1"/>
      <c r="M360" s="1"/>
      <c r="N360" s="3"/>
    </row>
    <row x14ac:dyDescent="0.25" r="361" customHeight="1" ht="18.75" hidden="1">
      <c r="A361" s="65" t="s">
        <v>163</v>
      </c>
      <c r="B361" s="155" t="s">
        <v>293</v>
      </c>
      <c r="C361" s="160">
        <f>VLOOKUP(B361,CONFIGURAÇÃO!H:I,2,FALSE)</f>
      </c>
      <c r="D361" s="66">
        <v>1</v>
      </c>
      <c r="E361" s="147" t="s">
        <v>183</v>
      </c>
      <c r="F361" s="96">
        <f>VLOOKUP(E361,CONFIGURAÇÃO!E:F,2,0)</f>
      </c>
      <c r="G361" s="147" t="s">
        <v>13</v>
      </c>
      <c r="H361" s="96">
        <f>IF(G361="CORTESIA",0,D361*F361)</f>
      </c>
      <c r="I361" s="147" t="s">
        <v>50</v>
      </c>
      <c r="J361" s="149" t="s">
        <v>184</v>
      </c>
      <c r="K361" s="147"/>
      <c r="L361" s="1"/>
      <c r="M361" s="1"/>
      <c r="N361" s="3"/>
    </row>
    <row x14ac:dyDescent="0.25" r="362" customHeight="1" ht="18.75" hidden="1">
      <c r="A362" s="67">
        <v>45748</v>
      </c>
      <c r="B362" s="154" t="s">
        <v>294</v>
      </c>
      <c r="C362" s="160">
        <f>VLOOKUP(B362,CONFIGURAÇÃO!H:I,2,FALSE)</f>
      </c>
      <c r="D362" s="148">
        <v>1</v>
      </c>
      <c r="E362" s="149" t="s">
        <v>72</v>
      </c>
      <c r="F362" s="96">
        <f>VLOOKUP(E362,CONFIGURAÇÃO!E:F,2,0)</f>
      </c>
      <c r="G362" s="147" t="s">
        <v>13</v>
      </c>
      <c r="H362" s="96">
        <f>IF(G362="CORTESIA",0,D362*F362)</f>
      </c>
      <c r="I362" s="147" t="s">
        <v>19</v>
      </c>
      <c r="J362" s="149" t="s">
        <v>184</v>
      </c>
      <c r="K362" s="147"/>
      <c r="L362" s="1"/>
      <c r="M362" s="1"/>
      <c r="N362" s="3"/>
    </row>
    <row x14ac:dyDescent="0.25" r="363" customHeight="1" ht="18.75" hidden="1">
      <c r="A363" s="65" t="s">
        <v>177</v>
      </c>
      <c r="B363" s="155" t="s">
        <v>294</v>
      </c>
      <c r="C363" s="160">
        <f>VLOOKUP(B363,CONFIGURAÇÃO!H:I,2,FALSE)</f>
      </c>
      <c r="D363" s="66">
        <v>1</v>
      </c>
      <c r="E363" s="147" t="s">
        <v>183</v>
      </c>
      <c r="F363" s="96">
        <f>VLOOKUP(E363,CONFIGURAÇÃO!E:F,2,0)</f>
      </c>
      <c r="G363" s="147" t="s">
        <v>13</v>
      </c>
      <c r="H363" s="96">
        <f>IF(G363="CORTESIA",0,D363*F363)</f>
      </c>
      <c r="I363" s="147" t="s">
        <v>19</v>
      </c>
      <c r="J363" s="149" t="s">
        <v>184</v>
      </c>
      <c r="K363" s="147"/>
      <c r="L363" s="1"/>
      <c r="M363" s="1"/>
      <c r="N363" s="3"/>
    </row>
    <row x14ac:dyDescent="0.25" r="364" customHeight="1" ht="18.75" hidden="1">
      <c r="A364" s="65" t="s">
        <v>188</v>
      </c>
      <c r="B364" s="155" t="s">
        <v>294</v>
      </c>
      <c r="C364" s="160">
        <f>VLOOKUP(B364,CONFIGURAÇÃO!H:I,2,FALSE)</f>
      </c>
      <c r="D364" s="66">
        <v>1</v>
      </c>
      <c r="E364" s="147" t="s">
        <v>171</v>
      </c>
      <c r="F364" s="96">
        <f>VLOOKUP(E364,CONFIGURAÇÃO!E:F,2,0)</f>
      </c>
      <c r="G364" s="147" t="s">
        <v>13</v>
      </c>
      <c r="H364" s="96">
        <f>IF(G364="CORTESIA",0,D364*F364)</f>
      </c>
      <c r="I364" s="147" t="s">
        <v>19</v>
      </c>
      <c r="J364" s="149" t="s">
        <v>184</v>
      </c>
      <c r="K364" s="147"/>
      <c r="L364" s="1"/>
      <c r="M364" s="1"/>
      <c r="N364" s="3"/>
    </row>
    <row x14ac:dyDescent="0.25" r="365" customHeight="1" ht="18.75" hidden="1">
      <c r="A365" s="65" t="s">
        <v>159</v>
      </c>
      <c r="B365" s="155" t="s">
        <v>294</v>
      </c>
      <c r="C365" s="160">
        <f>VLOOKUP(B365,CONFIGURAÇÃO!H:I,2,FALSE)</f>
      </c>
      <c r="D365" s="66">
        <v>1</v>
      </c>
      <c r="E365" s="147" t="s">
        <v>72</v>
      </c>
      <c r="F365" s="96">
        <f>VLOOKUP(E365,CONFIGURAÇÃO!E:F,2,0)</f>
      </c>
      <c r="G365" s="147" t="s">
        <v>13</v>
      </c>
      <c r="H365" s="96">
        <f>IF(G365="CORTESIA",0,D365*F365)</f>
      </c>
      <c r="I365" s="147" t="s">
        <v>19</v>
      </c>
      <c r="J365" s="149" t="s">
        <v>184</v>
      </c>
      <c r="K365" s="147"/>
      <c r="L365" s="1"/>
      <c r="M365" s="1"/>
      <c r="N365" s="3"/>
    </row>
    <row x14ac:dyDescent="0.25" r="366" customHeight="1" ht="18.75" hidden="1">
      <c r="A366" s="65" t="s">
        <v>160</v>
      </c>
      <c r="B366" s="155" t="s">
        <v>294</v>
      </c>
      <c r="C366" s="160">
        <f>VLOOKUP(B366,CONFIGURAÇÃO!H:I,2,FALSE)</f>
      </c>
      <c r="D366" s="66">
        <v>1</v>
      </c>
      <c r="E366" s="147" t="s">
        <v>183</v>
      </c>
      <c r="F366" s="96">
        <f>VLOOKUP(E366,CONFIGURAÇÃO!E:F,2,0)</f>
      </c>
      <c r="G366" s="147" t="s">
        <v>13</v>
      </c>
      <c r="H366" s="96">
        <f>IF(G366="CORTESIA",0,D366*F366)</f>
      </c>
      <c r="I366" s="147" t="s">
        <v>19</v>
      </c>
      <c r="J366" s="149" t="s">
        <v>184</v>
      </c>
      <c r="K366" s="147"/>
      <c r="L366" s="1"/>
      <c r="M366" s="1"/>
      <c r="N366" s="3"/>
    </row>
    <row x14ac:dyDescent="0.25" r="367" customHeight="1" ht="18.75" hidden="1">
      <c r="A367" s="67" t="s">
        <v>198</v>
      </c>
      <c r="B367" s="154" t="s">
        <v>295</v>
      </c>
      <c r="C367" s="160">
        <f>VLOOKUP(B367,CONFIGURAÇÃO!H:I,2,FALSE)</f>
      </c>
      <c r="D367" s="148">
        <v>1</v>
      </c>
      <c r="E367" s="149" t="s">
        <v>183</v>
      </c>
      <c r="F367" s="96">
        <f>VLOOKUP(E367,CONFIGURAÇÃO!E:F,2,0)</f>
      </c>
      <c r="G367" s="147" t="s">
        <v>73</v>
      </c>
      <c r="H367" s="96">
        <f>IF(G367="CORTESIA",0,D367*F367)</f>
      </c>
      <c r="I367" s="147" t="s">
        <v>50</v>
      </c>
      <c r="J367" s="149" t="s">
        <v>184</v>
      </c>
      <c r="K367" s="147"/>
      <c r="L367" s="1"/>
      <c r="M367" s="1"/>
      <c r="N367" s="3"/>
    </row>
    <row x14ac:dyDescent="0.25" r="368" customHeight="1" ht="18.75" hidden="1">
      <c r="A368" s="67">
        <v>45740</v>
      </c>
      <c r="B368" s="154" t="s">
        <v>296</v>
      </c>
      <c r="C368" s="160">
        <f>VLOOKUP(B368,CONFIGURAÇÃO!H:I,2,FALSE)</f>
      </c>
      <c r="D368" s="148">
        <v>1</v>
      </c>
      <c r="E368" s="149" t="s">
        <v>72</v>
      </c>
      <c r="F368" s="96">
        <f>VLOOKUP(E368,CONFIGURAÇÃO!E:F,2,0)</f>
      </c>
      <c r="G368" s="147" t="s">
        <v>73</v>
      </c>
      <c r="H368" s="96">
        <f>IF(G368="CORTESIA",0,D368*F368)</f>
      </c>
      <c r="I368" s="147" t="s">
        <v>50</v>
      </c>
      <c r="J368" s="149" t="s">
        <v>184</v>
      </c>
      <c r="K368" s="147"/>
      <c r="L368" s="1"/>
      <c r="M368" s="1"/>
      <c r="N368" s="3"/>
    </row>
    <row x14ac:dyDescent="0.25" r="369" customHeight="1" ht="18.75" hidden="1">
      <c r="A369" s="67" t="s">
        <v>163</v>
      </c>
      <c r="B369" s="154" t="s">
        <v>296</v>
      </c>
      <c r="C369" s="160">
        <f>VLOOKUP(B369,CONFIGURAÇÃO!H:I,2,FALSE)</f>
      </c>
      <c r="D369" s="148">
        <v>1</v>
      </c>
      <c r="E369" s="149" t="s">
        <v>183</v>
      </c>
      <c r="F369" s="96">
        <f>VLOOKUP(E369,CONFIGURAÇÃO!E:F,2,0)</f>
      </c>
      <c r="G369" s="147" t="s">
        <v>13</v>
      </c>
      <c r="H369" s="96">
        <f>IF(G369="CORTESIA",0,D369*F369)</f>
      </c>
      <c r="I369" s="147" t="s">
        <v>19</v>
      </c>
      <c r="J369" s="149" t="s">
        <v>184</v>
      </c>
      <c r="K369" s="147"/>
      <c r="L369" s="1"/>
      <c r="M369" s="1"/>
      <c r="N369" s="3"/>
    </row>
    <row x14ac:dyDescent="0.25" r="370" customHeight="1" ht="18.75" hidden="1">
      <c r="A370" s="67" t="s">
        <v>179</v>
      </c>
      <c r="B370" s="154" t="s">
        <v>297</v>
      </c>
      <c r="C370" s="160">
        <f>VLOOKUP(B370,CONFIGURAÇÃO!H:I,2,FALSE)</f>
      </c>
      <c r="D370" s="148">
        <v>2</v>
      </c>
      <c r="E370" s="149" t="s">
        <v>78</v>
      </c>
      <c r="F370" s="96">
        <f>VLOOKUP(E370,CONFIGURAÇÃO!E:F,2,0)</f>
      </c>
      <c r="G370" s="147" t="s">
        <v>73</v>
      </c>
      <c r="H370" s="96">
        <f>IF(G370="CORTESIA",0,D370*F370)</f>
      </c>
      <c r="I370" s="147" t="s">
        <v>50</v>
      </c>
      <c r="J370" s="149" t="s">
        <v>184</v>
      </c>
      <c r="K370" s="147"/>
      <c r="L370" s="1"/>
      <c r="M370" s="1"/>
      <c r="N370" s="3"/>
    </row>
    <row x14ac:dyDescent="0.25" r="371" customHeight="1" ht="18.75" hidden="1">
      <c r="A371" s="65" t="s">
        <v>164</v>
      </c>
      <c r="B371" s="155" t="s">
        <v>297</v>
      </c>
      <c r="C371" s="160">
        <f>VLOOKUP(B371,CONFIGURAÇÃO!H:I,2,FALSE)</f>
      </c>
      <c r="D371" s="66">
        <v>2</v>
      </c>
      <c r="E371" s="147" t="s">
        <v>183</v>
      </c>
      <c r="F371" s="96">
        <f>VLOOKUP(E371,CONFIGURAÇÃO!E:F,2,0)</f>
      </c>
      <c r="G371" s="147" t="s">
        <v>73</v>
      </c>
      <c r="H371" s="96">
        <f>IF(G371="CORTESIA",0,D371*F371)</f>
      </c>
      <c r="I371" s="147" t="s">
        <v>50</v>
      </c>
      <c r="J371" s="149" t="s">
        <v>184</v>
      </c>
      <c r="K371" s="147"/>
      <c r="L371" s="1"/>
      <c r="M371" s="1"/>
      <c r="N371" s="3"/>
    </row>
    <row x14ac:dyDescent="0.25" r="372" customHeight="1" ht="18.75" hidden="1">
      <c r="A372" s="67">
        <v>45750</v>
      </c>
      <c r="B372" s="154" t="s">
        <v>298</v>
      </c>
      <c r="C372" s="160">
        <f>VLOOKUP(B372,CONFIGURAÇÃO!H:I,2,FALSE)</f>
      </c>
      <c r="D372" s="148">
        <v>1</v>
      </c>
      <c r="E372" s="149" t="s">
        <v>78</v>
      </c>
      <c r="F372" s="96">
        <f>VLOOKUP(E372,CONFIGURAÇÃO!E:F,2,0)</f>
      </c>
      <c r="G372" s="147" t="s">
        <v>13</v>
      </c>
      <c r="H372" s="96">
        <f>IF(G372="CORTESIA",0,D372*F372)</f>
      </c>
      <c r="I372" s="147" t="s">
        <v>19</v>
      </c>
      <c r="J372" s="149" t="s">
        <v>184</v>
      </c>
      <c r="K372" s="147" t="s">
        <v>299</v>
      </c>
      <c r="L372" s="1"/>
      <c r="M372" s="1"/>
      <c r="N372" s="3"/>
    </row>
    <row x14ac:dyDescent="0.25" r="373" customHeight="1" ht="18.75" hidden="1">
      <c r="A373" s="67" t="s">
        <v>198</v>
      </c>
      <c r="B373" s="154" t="s">
        <v>298</v>
      </c>
      <c r="C373" s="160">
        <f>VLOOKUP(B373,CONFIGURAÇÃO!H:I,2,FALSE)</f>
      </c>
      <c r="D373" s="148">
        <v>1</v>
      </c>
      <c r="E373" s="149" t="s">
        <v>183</v>
      </c>
      <c r="F373" s="96">
        <f>VLOOKUP(E373,CONFIGURAÇÃO!E:F,2,0)</f>
      </c>
      <c r="G373" s="147" t="s">
        <v>73</v>
      </c>
      <c r="H373" s="96">
        <f>IF(G373="CORTESIA",0,D373*F373)</f>
      </c>
      <c r="I373" s="147" t="s">
        <v>50</v>
      </c>
      <c r="J373" s="149" t="s">
        <v>184</v>
      </c>
      <c r="K373" s="147"/>
      <c r="L373" s="1"/>
      <c r="M373" s="1"/>
      <c r="N373" s="3"/>
    </row>
    <row x14ac:dyDescent="0.25" r="374" customHeight="1" ht="18.75" hidden="1">
      <c r="A374" s="67" t="s">
        <v>160</v>
      </c>
      <c r="B374" s="154" t="s">
        <v>298</v>
      </c>
      <c r="C374" s="160">
        <f>VLOOKUP(B374,CONFIGURAÇÃO!H:I,2,FALSE)</f>
      </c>
      <c r="D374" s="148">
        <v>1</v>
      </c>
      <c r="E374" s="149" t="s">
        <v>183</v>
      </c>
      <c r="F374" s="96">
        <f>VLOOKUP(E374,CONFIGURAÇÃO!E:F,2,0)</f>
      </c>
      <c r="G374" s="147" t="s">
        <v>73</v>
      </c>
      <c r="H374" s="96">
        <f>IF(G374="CORTESIA",0,D374*F374)</f>
      </c>
      <c r="I374" s="147" t="s">
        <v>50</v>
      </c>
      <c r="J374" s="149" t="s">
        <v>184</v>
      </c>
      <c r="K374" s="147"/>
      <c r="L374" s="1"/>
      <c r="M374" s="1"/>
      <c r="N374" s="3"/>
    </row>
    <row x14ac:dyDescent="0.25" r="375" customHeight="1" ht="18.75" hidden="1">
      <c r="A375" s="67" t="s">
        <v>198</v>
      </c>
      <c r="B375" s="154" t="s">
        <v>300</v>
      </c>
      <c r="C375" s="160">
        <f>VLOOKUP(B375,CONFIGURAÇÃO!H:I,2,FALSE)</f>
      </c>
      <c r="D375" s="148">
        <v>2</v>
      </c>
      <c r="E375" s="149" t="s">
        <v>183</v>
      </c>
      <c r="F375" s="96">
        <f>VLOOKUP(E375,CONFIGURAÇÃO!E:F,2,0)</f>
      </c>
      <c r="G375" s="147" t="s">
        <v>13</v>
      </c>
      <c r="H375" s="96">
        <f>IF(G375="CORTESIA",0,D375*F375)</f>
      </c>
      <c r="I375" s="147" t="s">
        <v>50</v>
      </c>
      <c r="J375" s="149" t="s">
        <v>184</v>
      </c>
      <c r="K375" s="147"/>
      <c r="L375" s="1"/>
      <c r="M375" s="1"/>
      <c r="N375" s="3"/>
    </row>
    <row x14ac:dyDescent="0.25" r="376" customHeight="1" ht="18.75" hidden="1">
      <c r="A376" s="67" t="s">
        <v>178</v>
      </c>
      <c r="B376" s="154" t="s">
        <v>300</v>
      </c>
      <c r="C376" s="160">
        <f>VLOOKUP(B376,CONFIGURAÇÃO!H:I,2,FALSE)</f>
      </c>
      <c r="D376" s="148">
        <v>1</v>
      </c>
      <c r="E376" s="149" t="s">
        <v>78</v>
      </c>
      <c r="F376" s="96">
        <f>VLOOKUP(E376,CONFIGURAÇÃO!E:F,2,0)</f>
      </c>
      <c r="G376" s="147" t="s">
        <v>13</v>
      </c>
      <c r="H376" s="96">
        <f>IF(G376="CORTESIA",0,D376*F376)</f>
      </c>
      <c r="I376" s="147" t="s">
        <v>50</v>
      </c>
      <c r="J376" s="149" t="s">
        <v>184</v>
      </c>
      <c r="K376" s="147"/>
      <c r="L376" s="1"/>
      <c r="M376" s="1"/>
      <c r="N376" s="3"/>
    </row>
    <row x14ac:dyDescent="0.25" r="377" customHeight="1" ht="18.75" hidden="1">
      <c r="A377" s="67" t="s">
        <v>178</v>
      </c>
      <c r="B377" s="154" t="s">
        <v>301</v>
      </c>
      <c r="C377" s="160">
        <f>VLOOKUP(B377,CONFIGURAÇÃO!H:I,2,FALSE)</f>
      </c>
      <c r="D377" s="148">
        <v>1</v>
      </c>
      <c r="E377" s="149" t="s">
        <v>72</v>
      </c>
      <c r="F377" s="96">
        <f>VLOOKUP(E377,CONFIGURAÇÃO!E:F,2,0)</f>
      </c>
      <c r="G377" s="147" t="s">
        <v>13</v>
      </c>
      <c r="H377" s="96">
        <f>IF(G377="CORTESIA",0,D377*F377)</f>
      </c>
      <c r="I377" s="147" t="s">
        <v>50</v>
      </c>
      <c r="J377" s="149" t="s">
        <v>184</v>
      </c>
      <c r="K377" s="147"/>
      <c r="L377" s="1"/>
      <c r="M377" s="1"/>
      <c r="N377" s="3"/>
    </row>
    <row x14ac:dyDescent="0.25" r="378" customHeight="1" ht="18.75" hidden="1">
      <c r="A378" s="65" t="s">
        <v>162</v>
      </c>
      <c r="B378" s="155" t="s">
        <v>301</v>
      </c>
      <c r="C378" s="160">
        <f>VLOOKUP(B378,CONFIGURAÇÃO!H:I,2,FALSE)</f>
      </c>
      <c r="D378" s="66">
        <v>1</v>
      </c>
      <c r="E378" s="147" t="s">
        <v>72</v>
      </c>
      <c r="F378" s="96">
        <f>VLOOKUP(E378,CONFIGURAÇÃO!E:F,2,0)</f>
      </c>
      <c r="G378" s="147" t="s">
        <v>13</v>
      </c>
      <c r="H378" s="96">
        <f>IF(G378="CORTESIA",0,D378*F378)</f>
      </c>
      <c r="I378" s="147" t="s">
        <v>50</v>
      </c>
      <c r="J378" s="149" t="s">
        <v>184</v>
      </c>
      <c r="K378" s="147"/>
      <c r="L378" s="1"/>
      <c r="M378" s="1"/>
      <c r="N378" s="3"/>
    </row>
    <row x14ac:dyDescent="0.25" r="379" customHeight="1" ht="18.75" hidden="1">
      <c r="A379" s="65" t="s">
        <v>189</v>
      </c>
      <c r="B379" s="155" t="s">
        <v>301</v>
      </c>
      <c r="C379" s="160">
        <f>VLOOKUP(B379,CONFIGURAÇÃO!H:I,2,FALSE)</f>
      </c>
      <c r="D379" s="66">
        <v>1</v>
      </c>
      <c r="E379" s="147" t="s">
        <v>72</v>
      </c>
      <c r="F379" s="96">
        <f>VLOOKUP(E379,CONFIGURAÇÃO!E:F,2,0)</f>
      </c>
      <c r="G379" s="147" t="s">
        <v>13</v>
      </c>
      <c r="H379" s="96">
        <f>IF(G379="CORTESIA",0,D379*F379)</f>
      </c>
      <c r="I379" s="147" t="s">
        <v>50</v>
      </c>
      <c r="J379" s="147"/>
      <c r="K379" s="147"/>
      <c r="L379" s="1"/>
      <c r="M379" s="1"/>
      <c r="N379" s="3"/>
    </row>
    <row x14ac:dyDescent="0.25" r="380" customHeight="1" ht="18.75" hidden="1">
      <c r="A380" s="67" t="s">
        <v>178</v>
      </c>
      <c r="B380" s="154" t="s">
        <v>302</v>
      </c>
      <c r="C380" s="160">
        <f>VLOOKUP(B380,CONFIGURAÇÃO!H:I,2,FALSE)</f>
      </c>
      <c r="D380" s="148">
        <v>1</v>
      </c>
      <c r="E380" s="149" t="s">
        <v>78</v>
      </c>
      <c r="F380" s="96">
        <f>VLOOKUP(E380,CONFIGURAÇÃO!E:F,2,0)</f>
      </c>
      <c r="G380" s="147" t="s">
        <v>73</v>
      </c>
      <c r="H380" s="96">
        <f>IF(G380="CORTESIA",0,D380*F380)</f>
      </c>
      <c r="I380" s="147" t="s">
        <v>50</v>
      </c>
      <c r="J380" s="149" t="s">
        <v>184</v>
      </c>
      <c r="K380" s="147" t="s">
        <v>303</v>
      </c>
      <c r="L380" s="1"/>
      <c r="M380" s="1"/>
      <c r="N380" s="3"/>
    </row>
    <row x14ac:dyDescent="0.25" r="381" customHeight="1" ht="18.75" hidden="1">
      <c r="A381" s="67" t="s">
        <v>159</v>
      </c>
      <c r="B381" s="154" t="s">
        <v>302</v>
      </c>
      <c r="C381" s="160">
        <f>VLOOKUP(B381,CONFIGURAÇÃO!H:I,2,FALSE)</f>
      </c>
      <c r="D381" s="148">
        <v>1</v>
      </c>
      <c r="E381" s="149" t="s">
        <v>78</v>
      </c>
      <c r="F381" s="96">
        <f>VLOOKUP(E381,CONFIGURAÇÃO!E:F,2,0)</f>
      </c>
      <c r="G381" s="147" t="s">
        <v>73</v>
      </c>
      <c r="H381" s="96">
        <f>IF(G381="CORTESIA",0,D381*F381)</f>
      </c>
      <c r="I381" s="147" t="s">
        <v>50</v>
      </c>
      <c r="J381" s="149" t="s">
        <v>184</v>
      </c>
      <c r="K381" s="147"/>
      <c r="L381" s="1"/>
      <c r="M381" s="1"/>
      <c r="N381" s="3"/>
    </row>
    <row x14ac:dyDescent="0.25" r="382" customHeight="1" ht="18.75" hidden="1">
      <c r="A382" s="67" t="s">
        <v>160</v>
      </c>
      <c r="B382" s="154" t="s">
        <v>302</v>
      </c>
      <c r="C382" s="160">
        <f>VLOOKUP(B382,CONFIGURAÇÃO!H:I,2,FALSE)</f>
      </c>
      <c r="D382" s="148">
        <v>1</v>
      </c>
      <c r="E382" s="149" t="s">
        <v>78</v>
      </c>
      <c r="F382" s="96">
        <f>VLOOKUP(E382,CONFIGURAÇÃO!E:F,2,0)</f>
      </c>
      <c r="G382" s="147" t="s">
        <v>73</v>
      </c>
      <c r="H382" s="96">
        <f>IF(G382="CORTESIA",0,D382*F382)</f>
      </c>
      <c r="I382" s="147" t="s">
        <v>50</v>
      </c>
      <c r="J382" s="149" t="s">
        <v>184</v>
      </c>
      <c r="K382" s="147"/>
      <c r="L382" s="1"/>
      <c r="M382" s="1"/>
      <c r="N382" s="3"/>
    </row>
    <row x14ac:dyDescent="0.25" r="383" customHeight="1" ht="18.75" hidden="1">
      <c r="A383" s="67" t="s">
        <v>179</v>
      </c>
      <c r="B383" s="154" t="s">
        <v>302</v>
      </c>
      <c r="C383" s="160">
        <f>VLOOKUP(B383,CONFIGURAÇÃO!H:I,2,FALSE)</f>
      </c>
      <c r="D383" s="148">
        <v>1</v>
      </c>
      <c r="E383" s="149" t="s">
        <v>78</v>
      </c>
      <c r="F383" s="96">
        <f>VLOOKUP(E383,CONFIGURAÇÃO!E:F,2,0)</f>
      </c>
      <c r="G383" s="147" t="s">
        <v>73</v>
      </c>
      <c r="H383" s="96">
        <f>IF(G383="CORTESIA",0,D383*F383)</f>
      </c>
      <c r="I383" s="147" t="s">
        <v>50</v>
      </c>
      <c r="J383" s="149" t="s">
        <v>184</v>
      </c>
      <c r="K383" s="147"/>
      <c r="L383" s="1"/>
      <c r="M383" s="1"/>
      <c r="N383" s="3"/>
    </row>
    <row x14ac:dyDescent="0.25" r="384" customHeight="1" ht="18.75" hidden="1">
      <c r="A384" s="65" t="s">
        <v>162</v>
      </c>
      <c r="B384" s="155" t="s">
        <v>302</v>
      </c>
      <c r="C384" s="160">
        <f>VLOOKUP(B384,CONFIGURAÇÃO!H:I,2,FALSE)</f>
      </c>
      <c r="D384" s="66">
        <v>1</v>
      </c>
      <c r="E384" s="147" t="s">
        <v>78</v>
      </c>
      <c r="F384" s="96">
        <f>VLOOKUP(E384,CONFIGURAÇÃO!E:F,2,0)</f>
      </c>
      <c r="G384" s="147" t="s">
        <v>73</v>
      </c>
      <c r="H384" s="96">
        <f>IF(G384="CORTESIA",0,D384*F384)</f>
      </c>
      <c r="I384" s="147" t="s">
        <v>50</v>
      </c>
      <c r="J384" s="149" t="s">
        <v>184</v>
      </c>
      <c r="K384" s="147"/>
      <c r="L384" s="1"/>
      <c r="M384" s="1"/>
      <c r="N384" s="3"/>
    </row>
    <row x14ac:dyDescent="0.25" r="385" customHeight="1" ht="18.75" hidden="1">
      <c r="A385" s="65" t="s">
        <v>163</v>
      </c>
      <c r="B385" s="155" t="s">
        <v>302</v>
      </c>
      <c r="C385" s="160">
        <f>VLOOKUP(B385,CONFIGURAÇÃO!H:I,2,FALSE)</f>
      </c>
      <c r="D385" s="66">
        <v>1</v>
      </c>
      <c r="E385" s="147" t="s">
        <v>78</v>
      </c>
      <c r="F385" s="96">
        <f>VLOOKUP(E385,CONFIGURAÇÃO!E:F,2,0)</f>
      </c>
      <c r="G385" s="147" t="s">
        <v>73</v>
      </c>
      <c r="H385" s="96">
        <f>IF(G385="CORTESIA",0,D385*F385)</f>
      </c>
      <c r="I385" s="147" t="s">
        <v>50</v>
      </c>
      <c r="J385" s="149" t="s">
        <v>184</v>
      </c>
      <c r="K385" s="147"/>
      <c r="L385" s="1"/>
      <c r="M385" s="1"/>
      <c r="N385" s="3"/>
    </row>
    <row x14ac:dyDescent="0.25" r="386" customHeight="1" ht="18.75" hidden="1">
      <c r="A386" s="65" t="s">
        <v>188</v>
      </c>
      <c r="B386" s="155" t="s">
        <v>304</v>
      </c>
      <c r="C386" s="160">
        <f>VLOOKUP(B386,CONFIGURAÇÃO!H:I,2,FALSE)</f>
      </c>
      <c r="D386" s="66">
        <v>1</v>
      </c>
      <c r="E386" s="147" t="s">
        <v>171</v>
      </c>
      <c r="F386" s="96">
        <f>VLOOKUP(E386,CONFIGURAÇÃO!E:F,2,0)</f>
      </c>
      <c r="G386" s="147" t="s">
        <v>13</v>
      </c>
      <c r="H386" s="96">
        <f>IF(G386="CORTESIA",0,D386*F386)</f>
      </c>
      <c r="I386" s="147" t="s">
        <v>19</v>
      </c>
      <c r="J386" s="149" t="s">
        <v>184</v>
      </c>
      <c r="K386" s="147"/>
      <c r="L386" s="1"/>
      <c r="M386" s="1"/>
      <c r="N386" s="3"/>
    </row>
    <row x14ac:dyDescent="0.25" r="387" customHeight="1" ht="18.75" hidden="1">
      <c r="A387" s="67">
        <v>45749</v>
      </c>
      <c r="B387" s="154" t="s">
        <v>96</v>
      </c>
      <c r="C387" s="160">
        <f>VLOOKUP(B387,CONFIGURAÇÃO!H:I,2,FALSE)</f>
      </c>
      <c r="D387" s="148">
        <v>1</v>
      </c>
      <c r="E387" s="149" t="s">
        <v>183</v>
      </c>
      <c r="F387" s="96">
        <f>VLOOKUP(E387,CONFIGURAÇÃO!E:F,2,0)</f>
      </c>
      <c r="G387" s="147" t="s">
        <v>13</v>
      </c>
      <c r="H387" s="96">
        <f>IF(G387="CORTESIA",0,D387*F387)</f>
      </c>
      <c r="I387" s="147" t="s">
        <v>22</v>
      </c>
      <c r="J387" s="149" t="s">
        <v>184</v>
      </c>
      <c r="K387" s="147"/>
      <c r="L387" s="1"/>
      <c r="M387" s="1"/>
      <c r="N387" s="3"/>
    </row>
    <row x14ac:dyDescent="0.25" r="388" customHeight="1" ht="18.75" hidden="1">
      <c r="A388" s="67">
        <v>45750</v>
      </c>
      <c r="B388" s="154" t="s">
        <v>96</v>
      </c>
      <c r="C388" s="160">
        <f>VLOOKUP(B388,CONFIGURAÇÃO!H:I,2,FALSE)</f>
      </c>
      <c r="D388" s="148">
        <v>2</v>
      </c>
      <c r="E388" s="149" t="s">
        <v>78</v>
      </c>
      <c r="F388" s="96">
        <f>VLOOKUP(E388,CONFIGURAÇÃO!E:F,2,0)</f>
      </c>
      <c r="G388" s="147" t="s">
        <v>13</v>
      </c>
      <c r="H388" s="96">
        <f>IF(G388="CORTESIA",0,D388*F388)</f>
      </c>
      <c r="I388" s="147" t="s">
        <v>22</v>
      </c>
      <c r="J388" s="149" t="s">
        <v>184</v>
      </c>
      <c r="K388" s="147"/>
      <c r="L388" s="1"/>
      <c r="M388" s="1"/>
      <c r="N388" s="3"/>
    </row>
    <row x14ac:dyDescent="0.25" r="389" customHeight="1" ht="18.75" hidden="1">
      <c r="A389" s="65" t="s">
        <v>188</v>
      </c>
      <c r="B389" s="155" t="s">
        <v>96</v>
      </c>
      <c r="C389" s="160">
        <f>VLOOKUP(B389,CONFIGURAÇÃO!H:I,2,FALSE)</f>
      </c>
      <c r="D389" s="66">
        <v>1</v>
      </c>
      <c r="E389" s="147" t="s">
        <v>72</v>
      </c>
      <c r="F389" s="96">
        <f>VLOOKUP(E389,CONFIGURAÇÃO!E:F,2,0)</f>
      </c>
      <c r="G389" s="147" t="s">
        <v>13</v>
      </c>
      <c r="H389" s="96">
        <f>IF(G389="CORTESIA",0,D389*F389)</f>
      </c>
      <c r="I389" s="147" t="s">
        <v>22</v>
      </c>
      <c r="J389" s="149" t="s">
        <v>184</v>
      </c>
      <c r="K389" s="147"/>
      <c r="L389" s="1"/>
      <c r="M389" s="1"/>
      <c r="N389" s="3"/>
    </row>
    <row x14ac:dyDescent="0.25" r="390" customHeight="1" ht="18.75" hidden="1">
      <c r="A390" s="65" t="s">
        <v>188</v>
      </c>
      <c r="B390" s="155" t="s">
        <v>96</v>
      </c>
      <c r="C390" s="160">
        <f>VLOOKUP(B390,CONFIGURAÇÃO!H:I,2,FALSE)</f>
      </c>
      <c r="D390" s="66">
        <v>1</v>
      </c>
      <c r="E390" s="147" t="s">
        <v>78</v>
      </c>
      <c r="F390" s="96">
        <f>VLOOKUP(E390,CONFIGURAÇÃO!E:F,2,0)</f>
      </c>
      <c r="G390" s="147" t="s">
        <v>13</v>
      </c>
      <c r="H390" s="96">
        <f>IF(G390="CORTESIA",0,D390*F390)</f>
      </c>
      <c r="I390" s="147" t="s">
        <v>22</v>
      </c>
      <c r="J390" s="149" t="s">
        <v>184</v>
      </c>
      <c r="K390" s="147"/>
      <c r="L390" s="1"/>
      <c r="M390" s="1"/>
      <c r="N390" s="3"/>
    </row>
    <row x14ac:dyDescent="0.25" r="391" customHeight="1" ht="18.75" hidden="1">
      <c r="A391" s="65" t="s">
        <v>172</v>
      </c>
      <c r="B391" s="155" t="s">
        <v>96</v>
      </c>
      <c r="C391" s="160">
        <f>VLOOKUP(B391,CONFIGURAÇÃO!H:I,2,FALSE)</f>
      </c>
      <c r="D391" s="66">
        <v>1</v>
      </c>
      <c r="E391" s="147" t="s">
        <v>183</v>
      </c>
      <c r="F391" s="96">
        <f>VLOOKUP(E391,CONFIGURAÇÃO!E:F,2,0)</f>
      </c>
      <c r="G391" s="147" t="s">
        <v>13</v>
      </c>
      <c r="H391" s="96">
        <f>IF(G391="CORTESIA",0,D391*F391)</f>
      </c>
      <c r="I391" s="147" t="s">
        <v>22</v>
      </c>
      <c r="J391" s="149" t="s">
        <v>184</v>
      </c>
      <c r="K391" s="147"/>
      <c r="L391" s="1"/>
      <c r="M391" s="1"/>
      <c r="N391" s="3"/>
    </row>
    <row x14ac:dyDescent="0.25" r="392" customHeight="1" ht="18.75" hidden="1">
      <c r="A392" s="65" t="s">
        <v>159</v>
      </c>
      <c r="B392" s="155" t="s">
        <v>96</v>
      </c>
      <c r="C392" s="160">
        <f>VLOOKUP(B392,CONFIGURAÇÃO!H:I,2,FALSE)</f>
      </c>
      <c r="D392" s="66">
        <v>1</v>
      </c>
      <c r="E392" s="147" t="s">
        <v>72</v>
      </c>
      <c r="F392" s="96">
        <f>VLOOKUP(E392,CONFIGURAÇÃO!E:F,2,0)</f>
      </c>
      <c r="G392" s="147" t="s">
        <v>13</v>
      </c>
      <c r="H392" s="96">
        <f>IF(G392="CORTESIA",0,D392*F392)</f>
      </c>
      <c r="I392" s="147" t="s">
        <v>22</v>
      </c>
      <c r="J392" s="149" t="s">
        <v>184</v>
      </c>
      <c r="K392" s="147"/>
      <c r="L392" s="1"/>
      <c r="M392" s="1"/>
      <c r="N392" s="3"/>
    </row>
    <row x14ac:dyDescent="0.25" r="393" customHeight="1" ht="18.75" hidden="1">
      <c r="A393" s="65" t="s">
        <v>205</v>
      </c>
      <c r="B393" s="155" t="s">
        <v>96</v>
      </c>
      <c r="C393" s="160">
        <f>VLOOKUP(B393,CONFIGURAÇÃO!H:I,2,FALSE)</f>
      </c>
      <c r="D393" s="66">
        <v>1</v>
      </c>
      <c r="E393" s="147" t="s">
        <v>72</v>
      </c>
      <c r="F393" s="96">
        <f>VLOOKUP(E393,CONFIGURAÇÃO!E:F,2,0)</f>
      </c>
      <c r="G393" s="147" t="s">
        <v>13</v>
      </c>
      <c r="H393" s="96">
        <f>IF(G393="CORTESIA",0,D393*F393)</f>
      </c>
      <c r="I393" s="147" t="s">
        <v>22</v>
      </c>
      <c r="J393" s="149" t="s">
        <v>184</v>
      </c>
      <c r="K393" s="147"/>
      <c r="L393" s="1"/>
      <c r="M393" s="1"/>
      <c r="N393" s="3"/>
    </row>
    <row x14ac:dyDescent="0.25" r="394" customHeight="1" ht="18.75" hidden="1">
      <c r="A394" s="67" t="s">
        <v>162</v>
      </c>
      <c r="B394" s="154" t="s">
        <v>96</v>
      </c>
      <c r="C394" s="160">
        <f>VLOOKUP(B394,CONFIGURAÇÃO!H:I,2,FALSE)</f>
      </c>
      <c r="D394" s="148">
        <v>1</v>
      </c>
      <c r="E394" s="149" t="s">
        <v>78</v>
      </c>
      <c r="F394" s="96">
        <f>VLOOKUP(E394,CONFIGURAÇÃO!E:F,2,0)</f>
      </c>
      <c r="G394" s="147" t="s">
        <v>13</v>
      </c>
      <c r="H394" s="96">
        <f>IF(G394="CORTESIA",0,D394*F394)</f>
      </c>
      <c r="I394" s="147" t="s">
        <v>22</v>
      </c>
      <c r="J394" s="149" t="s">
        <v>184</v>
      </c>
      <c r="K394" s="147"/>
      <c r="L394" s="1"/>
      <c r="M394" s="1"/>
      <c r="N394" s="3"/>
    </row>
    <row x14ac:dyDescent="0.25" r="395" customHeight="1" ht="18.75" hidden="1">
      <c r="A395" s="67" t="s">
        <v>163</v>
      </c>
      <c r="B395" s="154" t="s">
        <v>96</v>
      </c>
      <c r="C395" s="160">
        <f>VLOOKUP(B395,CONFIGURAÇÃO!H:I,2,FALSE)</f>
      </c>
      <c r="D395" s="148">
        <v>1</v>
      </c>
      <c r="E395" s="149" t="s">
        <v>78</v>
      </c>
      <c r="F395" s="96">
        <f>VLOOKUP(E395,CONFIGURAÇÃO!E:F,2,0)</f>
      </c>
      <c r="G395" s="147" t="s">
        <v>13</v>
      </c>
      <c r="H395" s="96">
        <f>IF(G395="CORTESIA",0,D395*F395)</f>
      </c>
      <c r="I395" s="147" t="s">
        <v>22</v>
      </c>
      <c r="J395" s="149" t="s">
        <v>184</v>
      </c>
      <c r="K395" s="147"/>
      <c r="L395" s="1"/>
      <c r="M395" s="1"/>
      <c r="N395" s="3"/>
    </row>
    <row x14ac:dyDescent="0.25" r="396" customHeight="1" ht="18.75" hidden="1">
      <c r="A396" s="67" t="s">
        <v>178</v>
      </c>
      <c r="B396" s="154" t="s">
        <v>305</v>
      </c>
      <c r="C396" s="160">
        <f>VLOOKUP(B396,CONFIGURAÇÃO!H:I,2,FALSE)</f>
      </c>
      <c r="D396" s="148">
        <v>1</v>
      </c>
      <c r="E396" s="149" t="s">
        <v>72</v>
      </c>
      <c r="F396" s="96">
        <f>VLOOKUP(E396,CONFIGURAÇÃO!E:F,2,0)</f>
      </c>
      <c r="G396" s="147" t="s">
        <v>13</v>
      </c>
      <c r="H396" s="96">
        <f>IF(G396="CORTESIA",0,D396*F396)</f>
      </c>
      <c r="I396" s="147" t="s">
        <v>50</v>
      </c>
      <c r="J396" s="149" t="s">
        <v>184</v>
      </c>
      <c r="K396" s="147"/>
      <c r="L396" s="1"/>
      <c r="M396" s="1"/>
      <c r="N396" s="3"/>
    </row>
    <row x14ac:dyDescent="0.25" r="397" customHeight="1" ht="18.75" hidden="1">
      <c r="A397" s="67" t="s">
        <v>160</v>
      </c>
      <c r="B397" s="154" t="s">
        <v>305</v>
      </c>
      <c r="C397" s="160">
        <f>VLOOKUP(B397,CONFIGURAÇÃO!H:I,2,FALSE)</f>
      </c>
      <c r="D397" s="148">
        <v>2</v>
      </c>
      <c r="E397" s="149" t="s">
        <v>183</v>
      </c>
      <c r="F397" s="96">
        <f>VLOOKUP(E397,CONFIGURAÇÃO!E:F,2,0)</f>
      </c>
      <c r="G397" s="147" t="s">
        <v>13</v>
      </c>
      <c r="H397" s="96">
        <f>IF(G397="CORTESIA",0,D397*F397)</f>
      </c>
      <c r="I397" s="147" t="s">
        <v>50</v>
      </c>
      <c r="J397" s="149" t="s">
        <v>184</v>
      </c>
      <c r="K397" s="147"/>
      <c r="L397" s="1"/>
      <c r="M397" s="1"/>
      <c r="N397" s="3"/>
    </row>
    <row x14ac:dyDescent="0.25" r="398" customHeight="1" ht="18.75" hidden="1">
      <c r="A398" s="67" t="s">
        <v>163</v>
      </c>
      <c r="B398" s="154" t="s">
        <v>305</v>
      </c>
      <c r="C398" s="160">
        <f>VLOOKUP(B398,CONFIGURAÇÃO!H:I,2,FALSE)</f>
      </c>
      <c r="D398" s="148">
        <v>1</v>
      </c>
      <c r="E398" s="149" t="s">
        <v>183</v>
      </c>
      <c r="F398" s="96">
        <f>VLOOKUP(E398,CONFIGURAÇÃO!E:F,2,0)</f>
      </c>
      <c r="G398" s="147" t="s">
        <v>13</v>
      </c>
      <c r="H398" s="96">
        <f>IF(G398="CORTESIA",0,D398*F398)</f>
      </c>
      <c r="I398" s="147" t="s">
        <v>19</v>
      </c>
      <c r="J398" s="149" t="s">
        <v>184</v>
      </c>
      <c r="K398" s="147" t="s">
        <v>269</v>
      </c>
      <c r="L398" s="1"/>
      <c r="M398" s="1"/>
      <c r="N398" s="3"/>
    </row>
    <row x14ac:dyDescent="0.25" r="399" customHeight="1" ht="18.75" hidden="1">
      <c r="A399" s="65" t="s">
        <v>172</v>
      </c>
      <c r="B399" s="155" t="s">
        <v>306</v>
      </c>
      <c r="C399" s="160">
        <f>VLOOKUP(B399,CONFIGURAÇÃO!H:I,2,FALSE)</f>
      </c>
      <c r="D399" s="66">
        <v>1</v>
      </c>
      <c r="E399" s="147" t="s">
        <v>183</v>
      </c>
      <c r="F399" s="96">
        <f>VLOOKUP(E399,CONFIGURAÇÃO!E:F,2,0)</f>
      </c>
      <c r="G399" s="147" t="s">
        <v>13</v>
      </c>
      <c r="H399" s="96">
        <f>IF(G399="CORTESIA",0,D399*F399)</f>
      </c>
      <c r="I399" s="147" t="s">
        <v>22</v>
      </c>
      <c r="J399" s="149" t="s">
        <v>184</v>
      </c>
      <c r="K399" s="147"/>
      <c r="L399" s="1"/>
      <c r="M399" s="1"/>
      <c r="N399" s="3"/>
    </row>
    <row x14ac:dyDescent="0.25" r="400" customHeight="1" ht="18.75" hidden="1">
      <c r="A400" s="65" t="s">
        <v>159</v>
      </c>
      <c r="B400" s="155" t="s">
        <v>306</v>
      </c>
      <c r="C400" s="160">
        <f>VLOOKUP(B400,CONFIGURAÇÃO!H:I,2,FALSE)</f>
      </c>
      <c r="D400" s="66">
        <v>1</v>
      </c>
      <c r="E400" s="147" t="s">
        <v>72</v>
      </c>
      <c r="F400" s="96">
        <f>VLOOKUP(E400,CONFIGURAÇÃO!E:F,2,0)</f>
      </c>
      <c r="G400" s="147" t="s">
        <v>13</v>
      </c>
      <c r="H400" s="96">
        <f>IF(G400="CORTESIA",0,D400*F400)</f>
      </c>
      <c r="I400" s="147" t="s">
        <v>22</v>
      </c>
      <c r="J400" s="149" t="s">
        <v>184</v>
      </c>
      <c r="K400" s="147"/>
      <c r="L400" s="1"/>
      <c r="M400" s="1"/>
      <c r="N400" s="3"/>
    </row>
    <row x14ac:dyDescent="0.25" r="401" customHeight="1" ht="18.75" hidden="1">
      <c r="A401" s="67" t="s">
        <v>162</v>
      </c>
      <c r="B401" s="154" t="s">
        <v>306</v>
      </c>
      <c r="C401" s="160">
        <f>VLOOKUP(B401,CONFIGURAÇÃO!H:I,2,FALSE)</f>
      </c>
      <c r="D401" s="148">
        <v>1</v>
      </c>
      <c r="E401" s="149" t="s">
        <v>72</v>
      </c>
      <c r="F401" s="96">
        <f>VLOOKUP(E401,CONFIGURAÇÃO!E:F,2,0)</f>
      </c>
      <c r="G401" s="147" t="s">
        <v>13</v>
      </c>
      <c r="H401" s="96">
        <f>IF(G401="CORTESIA",0,D401*F401)</f>
      </c>
      <c r="I401" s="147" t="s">
        <v>22</v>
      </c>
      <c r="J401" s="149" t="s">
        <v>184</v>
      </c>
      <c r="K401" s="147"/>
      <c r="L401" s="1"/>
      <c r="M401" s="1"/>
      <c r="N401" s="3"/>
    </row>
    <row x14ac:dyDescent="0.25" r="402" customHeight="1" ht="18.75" hidden="1">
      <c r="A402" s="65" t="s">
        <v>188</v>
      </c>
      <c r="B402" s="155" t="s">
        <v>307</v>
      </c>
      <c r="C402" s="160">
        <f>VLOOKUP(B402,CONFIGURAÇÃO!H:I,2,FALSE)</f>
      </c>
      <c r="D402" s="66">
        <v>1</v>
      </c>
      <c r="E402" s="147" t="s">
        <v>171</v>
      </c>
      <c r="F402" s="96">
        <f>VLOOKUP(E402,CONFIGURAÇÃO!E:F,2,0)</f>
      </c>
      <c r="G402" s="147" t="s">
        <v>13</v>
      </c>
      <c r="H402" s="96">
        <f>IF(G402="CORTESIA",0,D402*F402)</f>
      </c>
      <c r="I402" s="147" t="s">
        <v>19</v>
      </c>
      <c r="J402" s="149" t="s">
        <v>184</v>
      </c>
      <c r="K402" s="147"/>
      <c r="L402" s="1"/>
      <c r="M402" s="1"/>
      <c r="N402" s="3"/>
    </row>
    <row x14ac:dyDescent="0.25" r="403" customHeight="1" ht="18.75" hidden="1">
      <c r="A403" s="67" t="s">
        <v>178</v>
      </c>
      <c r="B403" s="154" t="s">
        <v>308</v>
      </c>
      <c r="C403" s="160">
        <f>VLOOKUP(B403,CONFIGURAÇÃO!H:I,2,FALSE)</f>
      </c>
      <c r="D403" s="148">
        <v>1</v>
      </c>
      <c r="E403" s="149" t="s">
        <v>72</v>
      </c>
      <c r="F403" s="96">
        <f>VLOOKUP(E403,CONFIGURAÇÃO!E:F,2,0)</f>
      </c>
      <c r="G403" s="147" t="s">
        <v>13</v>
      </c>
      <c r="H403" s="96">
        <f>IF(G403="CORTESIA",0,D403*F403)</f>
      </c>
      <c r="I403" s="147" t="s">
        <v>50</v>
      </c>
      <c r="J403" s="149" t="s">
        <v>184</v>
      </c>
      <c r="K403" s="147"/>
      <c r="L403" s="1"/>
      <c r="M403" s="1"/>
      <c r="N403" s="3"/>
    </row>
    <row x14ac:dyDescent="0.25" r="404" customHeight="1" ht="18.75" hidden="1">
      <c r="A404" s="65" t="s">
        <v>177</v>
      </c>
      <c r="B404" s="155" t="s">
        <v>308</v>
      </c>
      <c r="C404" s="160">
        <f>VLOOKUP(B404,CONFIGURAÇÃO!H:I,2,FALSE)</f>
      </c>
      <c r="D404" s="66">
        <v>1</v>
      </c>
      <c r="E404" s="147" t="s">
        <v>183</v>
      </c>
      <c r="F404" s="96">
        <f>VLOOKUP(E404,CONFIGURAÇÃO!E:F,2,0)</f>
      </c>
      <c r="G404" s="147" t="s">
        <v>13</v>
      </c>
      <c r="H404" s="96">
        <f>IF(G404="CORTESIA",0,D404*F404)</f>
      </c>
      <c r="I404" s="147" t="s">
        <v>19</v>
      </c>
      <c r="J404" s="149" t="s">
        <v>184</v>
      </c>
      <c r="K404" s="147"/>
      <c r="L404" s="1"/>
      <c r="M404" s="1"/>
      <c r="N404" s="3"/>
    </row>
    <row x14ac:dyDescent="0.25" r="405" customHeight="1" ht="18.75" hidden="1">
      <c r="A405" s="67" t="s">
        <v>188</v>
      </c>
      <c r="B405" s="154" t="s">
        <v>308</v>
      </c>
      <c r="C405" s="160">
        <f>VLOOKUP(B405,CONFIGURAÇÃO!H:I,2,FALSE)</f>
      </c>
      <c r="D405" s="148">
        <v>1</v>
      </c>
      <c r="E405" s="149" t="s">
        <v>171</v>
      </c>
      <c r="F405" s="96">
        <f>VLOOKUP(E405,CONFIGURAÇÃO!E:F,2,0)</f>
      </c>
      <c r="G405" s="147" t="s">
        <v>13</v>
      </c>
      <c r="H405" s="96">
        <f>IF(G405="CORTESIA",0,D405*F405)</f>
      </c>
      <c r="I405" s="147" t="s">
        <v>50</v>
      </c>
      <c r="J405" s="149" t="s">
        <v>184</v>
      </c>
      <c r="K405" s="147"/>
      <c r="L405" s="1"/>
      <c r="M405" s="1"/>
      <c r="N405" s="3"/>
    </row>
    <row x14ac:dyDescent="0.25" r="406" customHeight="1" ht="18.75" hidden="1">
      <c r="A406" s="67">
        <v>45749</v>
      </c>
      <c r="B406" s="154" t="s">
        <v>309</v>
      </c>
      <c r="C406" s="160">
        <f>VLOOKUP(B406,CONFIGURAÇÃO!H:I,2,FALSE)</f>
      </c>
      <c r="D406" s="148">
        <v>1</v>
      </c>
      <c r="E406" s="149" t="s">
        <v>183</v>
      </c>
      <c r="F406" s="96">
        <f>VLOOKUP(E406,CONFIGURAÇÃO!E:F,2,0)</f>
      </c>
      <c r="G406" s="147" t="s">
        <v>52</v>
      </c>
      <c r="H406" s="96">
        <f>IF(G406="CORTESIA",0,D406*F406)</f>
      </c>
      <c r="I406" s="147" t="s">
        <v>22</v>
      </c>
      <c r="J406" s="149" t="s">
        <v>184</v>
      </c>
      <c r="K406" s="147"/>
      <c r="L406" s="1"/>
      <c r="M406" s="1"/>
      <c r="N406" s="3"/>
    </row>
    <row x14ac:dyDescent="0.25" r="407" customHeight="1" ht="18.75" hidden="1">
      <c r="A407" s="65" t="s">
        <v>160</v>
      </c>
      <c r="B407" s="155" t="s">
        <v>309</v>
      </c>
      <c r="C407" s="160">
        <f>VLOOKUP(B407,CONFIGURAÇÃO!H:I,2,FALSE)</f>
      </c>
      <c r="D407" s="66">
        <v>1</v>
      </c>
      <c r="E407" s="147" t="s">
        <v>183</v>
      </c>
      <c r="F407" s="96">
        <f>VLOOKUP(E407,CONFIGURAÇÃO!E:F,2,0)</f>
      </c>
      <c r="G407" s="147" t="s">
        <v>13</v>
      </c>
      <c r="H407" s="96">
        <f>IF(G407="CORTESIA",0,D407*F407)</f>
      </c>
      <c r="I407" s="147" t="s">
        <v>22</v>
      </c>
      <c r="J407" s="149" t="s">
        <v>184</v>
      </c>
      <c r="K407" s="147"/>
      <c r="L407" s="1"/>
      <c r="M407" s="1"/>
      <c r="N407" s="3"/>
    </row>
    <row x14ac:dyDescent="0.25" r="408" customHeight="1" ht="18.75" hidden="1">
      <c r="A408" s="67" t="s">
        <v>160</v>
      </c>
      <c r="B408" s="154" t="s">
        <v>310</v>
      </c>
      <c r="C408" s="160">
        <f>VLOOKUP(B408,CONFIGURAÇÃO!H:I,2,FALSE)</f>
      </c>
      <c r="D408" s="148">
        <v>1</v>
      </c>
      <c r="E408" s="149" t="s">
        <v>183</v>
      </c>
      <c r="F408" s="96">
        <f>VLOOKUP(E408,CONFIGURAÇÃO!E:F,2,0)</f>
      </c>
      <c r="G408" s="147" t="s">
        <v>73</v>
      </c>
      <c r="H408" s="96">
        <f>IF(G408="CORTESIA",0,D408*F408)</f>
      </c>
      <c r="I408" s="147" t="s">
        <v>50</v>
      </c>
      <c r="J408" s="149" t="s">
        <v>184</v>
      </c>
      <c r="K408" s="147"/>
      <c r="L408" s="1"/>
      <c r="M408" s="1"/>
      <c r="N408" s="3"/>
    </row>
    <row x14ac:dyDescent="0.25" r="409" customHeight="1" ht="18.75" hidden="1">
      <c r="A409" s="67">
        <v>45749</v>
      </c>
      <c r="B409" s="154" t="s">
        <v>114</v>
      </c>
      <c r="C409" s="160">
        <f>VLOOKUP(B409,CONFIGURAÇÃO!H:I,2,FALSE)</f>
      </c>
      <c r="D409" s="148">
        <v>1</v>
      </c>
      <c r="E409" s="149" t="s">
        <v>183</v>
      </c>
      <c r="F409" s="96">
        <f>VLOOKUP(E409,CONFIGURAÇÃO!E:F,2,0)</f>
      </c>
      <c r="G409" s="147" t="s">
        <v>13</v>
      </c>
      <c r="H409" s="96">
        <f>IF(G409="CORTESIA",0,D409*F409)</f>
      </c>
      <c r="I409" s="147" t="s">
        <v>22</v>
      </c>
      <c r="J409" s="149" t="s">
        <v>184</v>
      </c>
      <c r="K409" s="147"/>
      <c r="L409" s="1"/>
      <c r="M409" s="1"/>
      <c r="N409" s="3"/>
    </row>
    <row x14ac:dyDescent="0.25" r="410" customHeight="1" ht="18.75" hidden="1">
      <c r="A410" s="67" t="s">
        <v>163</v>
      </c>
      <c r="B410" s="154" t="s">
        <v>114</v>
      </c>
      <c r="C410" s="160">
        <f>VLOOKUP(B410,CONFIGURAÇÃO!H:I,2,FALSE)</f>
      </c>
      <c r="D410" s="148">
        <v>1</v>
      </c>
      <c r="E410" s="149" t="s">
        <v>183</v>
      </c>
      <c r="F410" s="96">
        <f>VLOOKUP(E410,CONFIGURAÇÃO!E:F,2,0)</f>
      </c>
      <c r="G410" s="147" t="s">
        <v>13</v>
      </c>
      <c r="H410" s="96">
        <f>IF(G410="CORTESIA",0,D410*F410)</f>
      </c>
      <c r="I410" s="147" t="s">
        <v>22</v>
      </c>
      <c r="J410" s="149" t="s">
        <v>184</v>
      </c>
      <c r="K410" s="147"/>
      <c r="L410" s="1"/>
      <c r="M410" s="1"/>
      <c r="N410" s="3"/>
    </row>
    <row x14ac:dyDescent="0.25" r="411" customHeight="1" ht="18.75" hidden="1">
      <c r="A411" s="65" t="s">
        <v>159</v>
      </c>
      <c r="B411" s="155" t="s">
        <v>311</v>
      </c>
      <c r="C411" s="160">
        <f>VLOOKUP(B411,CONFIGURAÇÃO!H:I,2,FALSE)</f>
      </c>
      <c r="D411" s="66">
        <v>1</v>
      </c>
      <c r="E411" s="147" t="s">
        <v>72</v>
      </c>
      <c r="F411" s="96">
        <f>VLOOKUP(E411,CONFIGURAÇÃO!E:F,2,0)</f>
      </c>
      <c r="G411" s="147" t="s">
        <v>13</v>
      </c>
      <c r="H411" s="96">
        <f>IF(G411="CORTESIA",0,D411*F411)</f>
      </c>
      <c r="I411" s="147" t="s">
        <v>59</v>
      </c>
      <c r="J411" s="149" t="s">
        <v>184</v>
      </c>
      <c r="K411" s="147"/>
      <c r="L411" s="1"/>
      <c r="M411" s="1"/>
      <c r="N411" s="3"/>
    </row>
    <row x14ac:dyDescent="0.25" r="412" customHeight="1" ht="18.75" hidden="1">
      <c r="A412" s="65">
        <v>45661</v>
      </c>
      <c r="B412" s="155" t="s">
        <v>312</v>
      </c>
      <c r="C412" s="160">
        <f>VLOOKUP(B412,CONFIGURAÇÃO!H:I,2,FALSE)</f>
      </c>
      <c r="D412" s="66">
        <v>1</v>
      </c>
      <c r="E412" s="147" t="s">
        <v>72</v>
      </c>
      <c r="F412" s="96">
        <f>VLOOKUP(E412,CONFIGURAÇÃO!E:F,2,0)</f>
      </c>
      <c r="G412" s="147" t="s">
        <v>73</v>
      </c>
      <c r="H412" s="96">
        <f>IF(G412="CORTESIA",0,D412*F412)</f>
      </c>
      <c r="I412" s="147" t="s">
        <v>50</v>
      </c>
      <c r="J412" s="149" t="s">
        <v>184</v>
      </c>
      <c r="K412" s="147"/>
      <c r="L412" s="1"/>
      <c r="M412" s="1"/>
      <c r="N412" s="3"/>
    </row>
    <row x14ac:dyDescent="0.25" r="413" customHeight="1" ht="18.75" hidden="1">
      <c r="A413" s="67">
        <v>45740</v>
      </c>
      <c r="B413" s="154" t="s">
        <v>312</v>
      </c>
      <c r="C413" s="160">
        <f>VLOOKUP(B413,CONFIGURAÇÃO!H:I,2,FALSE)</f>
      </c>
      <c r="D413" s="148">
        <v>2</v>
      </c>
      <c r="E413" s="149" t="s">
        <v>72</v>
      </c>
      <c r="F413" s="96">
        <f>VLOOKUP(E413,CONFIGURAÇÃO!E:F,2,0)</f>
      </c>
      <c r="G413" s="147" t="s">
        <v>73</v>
      </c>
      <c r="H413" s="96">
        <f>IF(G413="CORTESIA",0,D413*F413)</f>
      </c>
      <c r="I413" s="147" t="s">
        <v>50</v>
      </c>
      <c r="J413" s="149" t="s">
        <v>184</v>
      </c>
      <c r="K413" s="147"/>
      <c r="L413" s="1"/>
      <c r="M413" s="1"/>
      <c r="N413" s="3"/>
    </row>
    <row x14ac:dyDescent="0.25" r="414" customHeight="1" ht="18.75" hidden="1">
      <c r="A414" s="67" t="s">
        <v>198</v>
      </c>
      <c r="B414" s="154" t="s">
        <v>312</v>
      </c>
      <c r="C414" s="160">
        <f>VLOOKUP(B414,CONFIGURAÇÃO!H:I,2,FALSE)</f>
      </c>
      <c r="D414" s="148">
        <v>1</v>
      </c>
      <c r="E414" s="149" t="s">
        <v>183</v>
      </c>
      <c r="F414" s="96">
        <f>VLOOKUP(E414,CONFIGURAÇÃO!E:F,2,0)</f>
      </c>
      <c r="G414" s="147" t="s">
        <v>73</v>
      </c>
      <c r="H414" s="96">
        <f>IF(G414="CORTESIA",0,D414*F414)</f>
      </c>
      <c r="I414" s="147" t="s">
        <v>50</v>
      </c>
      <c r="J414" s="149" t="s">
        <v>184</v>
      </c>
      <c r="K414" s="147"/>
      <c r="L414" s="1"/>
      <c r="M414" s="1"/>
      <c r="N414" s="3"/>
    </row>
    <row x14ac:dyDescent="0.25" r="415" customHeight="1" ht="18.75" hidden="1">
      <c r="A415" s="67" t="s">
        <v>159</v>
      </c>
      <c r="B415" s="154" t="s">
        <v>312</v>
      </c>
      <c r="C415" s="160">
        <f>VLOOKUP(B415,CONFIGURAÇÃO!H:I,2,FALSE)</f>
      </c>
      <c r="D415" s="148">
        <v>1</v>
      </c>
      <c r="E415" s="149" t="s">
        <v>72</v>
      </c>
      <c r="F415" s="96">
        <f>VLOOKUP(E415,CONFIGURAÇÃO!E:F,2,0)</f>
      </c>
      <c r="G415" s="147" t="s">
        <v>73</v>
      </c>
      <c r="H415" s="96">
        <f>IF(G415="CORTESIA",0,D415*F415)</f>
      </c>
      <c r="I415" s="147" t="s">
        <v>50</v>
      </c>
      <c r="J415" s="149" t="s">
        <v>184</v>
      </c>
      <c r="K415" s="147"/>
      <c r="L415" s="1"/>
      <c r="M415" s="1"/>
      <c r="N415" s="3"/>
    </row>
    <row x14ac:dyDescent="0.25" r="416" customHeight="1" ht="18.75" hidden="1">
      <c r="A416" s="67" t="s">
        <v>160</v>
      </c>
      <c r="B416" s="154" t="s">
        <v>312</v>
      </c>
      <c r="C416" s="160">
        <f>VLOOKUP(B416,CONFIGURAÇÃO!H:I,2,FALSE)</f>
      </c>
      <c r="D416" s="148">
        <v>2</v>
      </c>
      <c r="E416" s="149" t="s">
        <v>183</v>
      </c>
      <c r="F416" s="96">
        <f>VLOOKUP(E416,CONFIGURAÇÃO!E:F,2,0)</f>
      </c>
      <c r="G416" s="147" t="s">
        <v>73</v>
      </c>
      <c r="H416" s="96">
        <f>IF(G416="CORTESIA",0,D416*F416)</f>
      </c>
      <c r="I416" s="147" t="s">
        <v>50</v>
      </c>
      <c r="J416" s="149" t="s">
        <v>184</v>
      </c>
      <c r="K416" s="147"/>
      <c r="L416" s="1"/>
      <c r="M416" s="1"/>
      <c r="N416" s="3"/>
    </row>
    <row x14ac:dyDescent="0.25" r="417" customHeight="1" ht="18.75" hidden="1">
      <c r="A417" s="67" t="s">
        <v>179</v>
      </c>
      <c r="B417" s="154" t="s">
        <v>312</v>
      </c>
      <c r="C417" s="160">
        <f>VLOOKUP(B417,CONFIGURAÇÃO!H:I,2,FALSE)</f>
      </c>
      <c r="D417" s="148">
        <v>1</v>
      </c>
      <c r="E417" s="149" t="s">
        <v>78</v>
      </c>
      <c r="F417" s="96">
        <f>VLOOKUP(E417,CONFIGURAÇÃO!E:F,2,0)</f>
      </c>
      <c r="G417" s="147" t="s">
        <v>73</v>
      </c>
      <c r="H417" s="96">
        <f>IF(G417="CORTESIA",0,D417*F417)</f>
      </c>
      <c r="I417" s="147" t="s">
        <v>50</v>
      </c>
      <c r="J417" s="149" t="s">
        <v>184</v>
      </c>
      <c r="K417" s="147"/>
      <c r="L417" s="1"/>
      <c r="M417" s="1"/>
      <c r="N417" s="3"/>
    </row>
    <row x14ac:dyDescent="0.25" r="418" customHeight="1" ht="18.75" hidden="1">
      <c r="A418" s="67">
        <v>45748</v>
      </c>
      <c r="B418" s="154" t="s">
        <v>313</v>
      </c>
      <c r="C418" s="160">
        <f>VLOOKUP(B418,CONFIGURAÇÃO!H:I,2,FALSE)</f>
      </c>
      <c r="D418" s="148">
        <v>1</v>
      </c>
      <c r="E418" s="149" t="s">
        <v>72</v>
      </c>
      <c r="F418" s="96">
        <f>VLOOKUP(E418,CONFIGURAÇÃO!E:F,2,0)</f>
      </c>
      <c r="G418" s="147" t="s">
        <v>13</v>
      </c>
      <c r="H418" s="96">
        <f>IF(G418="CORTESIA",0,D418*F418)</f>
      </c>
      <c r="I418" s="147" t="s">
        <v>22</v>
      </c>
      <c r="J418" s="149" t="s">
        <v>184</v>
      </c>
      <c r="K418" s="147"/>
      <c r="L418" s="1"/>
      <c r="M418" s="1"/>
      <c r="N418" s="3"/>
    </row>
    <row x14ac:dyDescent="0.25" r="419" customHeight="1" ht="18.75" hidden="1">
      <c r="A419" s="67">
        <v>45749</v>
      </c>
      <c r="B419" s="154" t="s">
        <v>313</v>
      </c>
      <c r="C419" s="160">
        <f>VLOOKUP(B419,CONFIGURAÇÃO!H:I,2,FALSE)</f>
      </c>
      <c r="D419" s="148">
        <v>1</v>
      </c>
      <c r="E419" s="149" t="s">
        <v>183</v>
      </c>
      <c r="F419" s="96">
        <f>VLOOKUP(E419,CONFIGURAÇÃO!E:F,2,0)</f>
      </c>
      <c r="G419" s="147" t="s">
        <v>13</v>
      </c>
      <c r="H419" s="96">
        <f>IF(G419="CORTESIA",0,D419*F419)</f>
      </c>
      <c r="I419" s="147" t="s">
        <v>22</v>
      </c>
      <c r="J419" s="149" t="s">
        <v>184</v>
      </c>
      <c r="K419" s="147"/>
      <c r="L419" s="1"/>
      <c r="M419" s="1"/>
      <c r="N419" s="3"/>
    </row>
    <row x14ac:dyDescent="0.25" r="420" customHeight="1" ht="18.75" hidden="1">
      <c r="A420" s="65" t="s">
        <v>159</v>
      </c>
      <c r="B420" s="155" t="s">
        <v>313</v>
      </c>
      <c r="C420" s="160">
        <f>VLOOKUP(B420,CONFIGURAÇÃO!H:I,2,FALSE)</f>
      </c>
      <c r="D420" s="66">
        <v>1</v>
      </c>
      <c r="E420" s="147" t="s">
        <v>72</v>
      </c>
      <c r="F420" s="96">
        <f>VLOOKUP(E420,CONFIGURAÇÃO!E:F,2,0)</f>
      </c>
      <c r="G420" s="147" t="s">
        <v>13</v>
      </c>
      <c r="H420" s="96">
        <f>IF(G420="CORTESIA",0,D420*F420)</f>
      </c>
      <c r="I420" s="147" t="s">
        <v>22</v>
      </c>
      <c r="J420" s="149" t="s">
        <v>184</v>
      </c>
      <c r="K420" s="147"/>
      <c r="L420" s="1"/>
      <c r="M420" s="1"/>
      <c r="N420" s="3"/>
    </row>
    <row x14ac:dyDescent="0.25" r="421" customHeight="1" ht="18.75" hidden="1">
      <c r="A421" s="65" t="s">
        <v>205</v>
      </c>
      <c r="B421" s="155" t="s">
        <v>313</v>
      </c>
      <c r="C421" s="160">
        <f>VLOOKUP(B421,CONFIGURAÇÃO!H:I,2,FALSE)</f>
      </c>
      <c r="D421" s="66">
        <v>1</v>
      </c>
      <c r="E421" s="147" t="s">
        <v>72</v>
      </c>
      <c r="F421" s="96">
        <f>VLOOKUP(E421,CONFIGURAÇÃO!E:F,2,0)</f>
      </c>
      <c r="G421" s="147" t="s">
        <v>13</v>
      </c>
      <c r="H421" s="96">
        <f>IF(G421="CORTESIA",0,D421*F421)</f>
      </c>
      <c r="I421" s="147" t="s">
        <v>22</v>
      </c>
      <c r="J421" s="149" t="s">
        <v>184</v>
      </c>
      <c r="K421" s="147"/>
      <c r="L421" s="1"/>
      <c r="M421" s="1"/>
      <c r="N421" s="3"/>
    </row>
    <row x14ac:dyDescent="0.25" r="422" customHeight="1" ht="18.75" hidden="1">
      <c r="A422" s="67" t="s">
        <v>163</v>
      </c>
      <c r="B422" s="154" t="s">
        <v>313</v>
      </c>
      <c r="C422" s="160">
        <f>VLOOKUP(B422,CONFIGURAÇÃO!H:I,2,FALSE)</f>
      </c>
      <c r="D422" s="148">
        <v>1</v>
      </c>
      <c r="E422" s="149" t="s">
        <v>183</v>
      </c>
      <c r="F422" s="96">
        <f>VLOOKUP(E422,CONFIGURAÇÃO!E:F,2,0)</f>
      </c>
      <c r="G422" s="147" t="s">
        <v>13</v>
      </c>
      <c r="H422" s="96">
        <f>IF(G422="CORTESIA",0,D422*F422)</f>
      </c>
      <c r="I422" s="147" t="s">
        <v>22</v>
      </c>
      <c r="J422" s="149" t="s">
        <v>184</v>
      </c>
      <c r="K422" s="147"/>
      <c r="L422" s="1"/>
      <c r="M422" s="1"/>
      <c r="N422" s="3"/>
    </row>
    <row x14ac:dyDescent="0.25" r="423" customHeight="1" ht="18.75" hidden="1">
      <c r="A423" s="65" t="s">
        <v>205</v>
      </c>
      <c r="B423" s="155" t="s">
        <v>314</v>
      </c>
      <c r="C423" s="160">
        <f>VLOOKUP(B423,CONFIGURAÇÃO!H:I,2,FALSE)</f>
      </c>
      <c r="D423" s="66">
        <v>3</v>
      </c>
      <c r="E423" s="147" t="s">
        <v>72</v>
      </c>
      <c r="F423" s="96">
        <f>VLOOKUP(E423,CONFIGURAÇÃO!E:F,2,0)</f>
      </c>
      <c r="G423" s="147" t="s">
        <v>13</v>
      </c>
      <c r="H423" s="96">
        <f>IF(G423="CORTESIA",0,D423*F423)</f>
      </c>
      <c r="I423" s="147" t="s">
        <v>22</v>
      </c>
      <c r="J423" s="149" t="s">
        <v>184</v>
      </c>
      <c r="K423" s="147"/>
      <c r="L423" s="1"/>
      <c r="M423" s="1"/>
      <c r="N423" s="3"/>
    </row>
    <row x14ac:dyDescent="0.25" r="424" customHeight="1" ht="18.75" hidden="1">
      <c r="A424" s="67" t="s">
        <v>178</v>
      </c>
      <c r="B424" s="154" t="s">
        <v>315</v>
      </c>
      <c r="C424" s="160">
        <f>VLOOKUP(B424,CONFIGURAÇÃO!H:I,2,FALSE)</f>
      </c>
      <c r="D424" s="148">
        <v>1</v>
      </c>
      <c r="E424" s="149" t="s">
        <v>72</v>
      </c>
      <c r="F424" s="96">
        <f>VLOOKUP(E424,CONFIGURAÇÃO!E:F,2,0)</f>
      </c>
      <c r="G424" s="147" t="s">
        <v>73</v>
      </c>
      <c r="H424" s="96">
        <f>IF(G424="CORTESIA",0,D424*F424)</f>
      </c>
      <c r="I424" s="147" t="s">
        <v>50</v>
      </c>
      <c r="J424" s="149" t="s">
        <v>184</v>
      </c>
      <c r="K424" s="147"/>
      <c r="L424" s="1"/>
      <c r="M424" s="1"/>
      <c r="N424" s="3"/>
    </row>
    <row x14ac:dyDescent="0.25" r="425" customHeight="1" ht="18.75" hidden="1">
      <c r="A425" s="67">
        <v>45749</v>
      </c>
      <c r="B425" s="154" t="s">
        <v>121</v>
      </c>
      <c r="C425" s="160">
        <f>VLOOKUP(B425,CONFIGURAÇÃO!H:I,2,FALSE)</f>
      </c>
      <c r="D425" s="148">
        <v>1</v>
      </c>
      <c r="E425" s="149" t="s">
        <v>183</v>
      </c>
      <c r="F425" s="96">
        <f>VLOOKUP(E425,CONFIGURAÇÃO!E:F,2,0)</f>
      </c>
      <c r="G425" s="147" t="s">
        <v>13</v>
      </c>
      <c r="H425" s="96">
        <f>IF(G425="CORTESIA",0,D425*F425)</f>
      </c>
      <c r="I425" s="147" t="s">
        <v>22</v>
      </c>
      <c r="J425" s="149" t="s">
        <v>184</v>
      </c>
      <c r="K425" s="147"/>
      <c r="L425" s="1"/>
      <c r="M425" s="1"/>
      <c r="N425" s="3"/>
    </row>
    <row x14ac:dyDescent="0.25" r="426" customHeight="1" ht="18.75" hidden="1">
      <c r="A426" s="67" t="s">
        <v>162</v>
      </c>
      <c r="B426" s="154" t="s">
        <v>121</v>
      </c>
      <c r="C426" s="160">
        <f>VLOOKUP(B426,CONFIGURAÇÃO!H:I,2,FALSE)</f>
      </c>
      <c r="D426" s="148">
        <v>1</v>
      </c>
      <c r="E426" s="149" t="s">
        <v>72</v>
      </c>
      <c r="F426" s="96">
        <f>VLOOKUP(E426,CONFIGURAÇÃO!E:F,2,0)</f>
      </c>
      <c r="G426" s="147" t="s">
        <v>13</v>
      </c>
      <c r="H426" s="96">
        <f>IF(G426="CORTESIA",0,D426*F426)</f>
      </c>
      <c r="I426" s="147" t="s">
        <v>22</v>
      </c>
      <c r="J426" s="149" t="s">
        <v>184</v>
      </c>
      <c r="K426" s="147"/>
      <c r="L426" s="1"/>
      <c r="M426" s="1"/>
      <c r="N426" s="3"/>
    </row>
    <row x14ac:dyDescent="0.25" r="427" customHeight="1" ht="18.75" hidden="1">
      <c r="A427" s="67" t="s">
        <v>163</v>
      </c>
      <c r="B427" s="154" t="s">
        <v>121</v>
      </c>
      <c r="C427" s="160">
        <f>VLOOKUP(B427,CONFIGURAÇÃO!H:I,2,FALSE)</f>
      </c>
      <c r="D427" s="148">
        <v>3</v>
      </c>
      <c r="E427" s="149" t="s">
        <v>183</v>
      </c>
      <c r="F427" s="96">
        <f>VLOOKUP(E427,CONFIGURAÇÃO!E:F,2,0)</f>
      </c>
      <c r="G427" s="147" t="s">
        <v>13</v>
      </c>
      <c r="H427" s="96">
        <f>IF(G427="CORTESIA",0,D427*F427)</f>
      </c>
      <c r="I427" s="147" t="s">
        <v>22</v>
      </c>
      <c r="J427" s="149" t="s">
        <v>184</v>
      </c>
      <c r="K427" s="147"/>
      <c r="L427" s="1"/>
      <c r="M427" s="1"/>
      <c r="N427" s="3"/>
    </row>
    <row x14ac:dyDescent="0.25" r="428" customHeight="1" ht="18.75" hidden="1">
      <c r="A428" s="67" t="s">
        <v>164</v>
      </c>
      <c r="B428" s="154" t="s">
        <v>121</v>
      </c>
      <c r="C428" s="160">
        <f>VLOOKUP(B428,CONFIGURAÇÃO!H:I,2,FALSE)</f>
      </c>
      <c r="D428" s="148">
        <v>3</v>
      </c>
      <c r="E428" s="149" t="s">
        <v>183</v>
      </c>
      <c r="F428" s="96">
        <f>VLOOKUP(E428,CONFIGURAÇÃO!E:F,2,0)</f>
      </c>
      <c r="G428" s="147" t="s">
        <v>13</v>
      </c>
      <c r="H428" s="96">
        <f>IF(G428="CORTESIA",0,D428*F428)</f>
      </c>
      <c r="I428" s="147" t="s">
        <v>22</v>
      </c>
      <c r="J428" s="149" t="s">
        <v>184</v>
      </c>
      <c r="K428" s="147"/>
      <c r="L428" s="1"/>
      <c r="M428" s="1"/>
      <c r="N428" s="3"/>
    </row>
    <row x14ac:dyDescent="0.25" r="429" customHeight="1" ht="18.75" hidden="1">
      <c r="A429" s="65">
        <v>45733</v>
      </c>
      <c r="B429" s="155" t="s">
        <v>88</v>
      </c>
      <c r="C429" s="160">
        <f>VLOOKUP(B429,CONFIGURAÇÃO!H:I,2,FALSE)</f>
      </c>
      <c r="D429" s="66">
        <v>2</v>
      </c>
      <c r="E429" s="147" t="s">
        <v>78</v>
      </c>
      <c r="F429" s="96">
        <f>VLOOKUP(E429,CONFIGURAÇÃO!E:F,2,0)</f>
      </c>
      <c r="G429" s="147" t="s">
        <v>13</v>
      </c>
      <c r="H429" s="96">
        <f>IF(G429="CORTESIA",0,D429*F429)</f>
      </c>
      <c r="I429" s="147" t="s">
        <v>22</v>
      </c>
      <c r="J429" s="149" t="s">
        <v>184</v>
      </c>
      <c r="K429" s="147"/>
      <c r="L429" s="1"/>
      <c r="M429" s="1"/>
      <c r="N429" s="3"/>
    </row>
    <row x14ac:dyDescent="0.25" r="430" customHeight="1" ht="18.75" hidden="1">
      <c r="A430" s="65">
        <v>45733</v>
      </c>
      <c r="B430" s="155" t="s">
        <v>88</v>
      </c>
      <c r="C430" s="160">
        <f>VLOOKUP(B430,CONFIGURAÇÃO!H:I,2,FALSE)</f>
      </c>
      <c r="D430" s="66">
        <v>1</v>
      </c>
      <c r="E430" s="147" t="s">
        <v>183</v>
      </c>
      <c r="F430" s="96">
        <f>VLOOKUP(E430,CONFIGURAÇÃO!E:F,2,0)</f>
      </c>
      <c r="G430" s="147" t="s">
        <v>13</v>
      </c>
      <c r="H430" s="96">
        <f>IF(G430="CORTESIA",0,D430*F430)</f>
      </c>
      <c r="I430" s="147" t="s">
        <v>22</v>
      </c>
      <c r="J430" s="149" t="s">
        <v>184</v>
      </c>
      <c r="K430" s="147"/>
      <c r="L430" s="1"/>
      <c r="M430" s="1"/>
      <c r="N430" s="3"/>
    </row>
    <row x14ac:dyDescent="0.25" r="431" customHeight="1" ht="18.75" hidden="1">
      <c r="A431" s="67">
        <v>45749</v>
      </c>
      <c r="B431" s="154" t="s">
        <v>88</v>
      </c>
      <c r="C431" s="160">
        <f>VLOOKUP(B431,CONFIGURAÇÃO!H:I,2,FALSE)</f>
      </c>
      <c r="D431" s="148">
        <v>2</v>
      </c>
      <c r="E431" s="149" t="s">
        <v>183</v>
      </c>
      <c r="F431" s="96">
        <f>VLOOKUP(E431,CONFIGURAÇÃO!E:F,2,0)</f>
      </c>
      <c r="G431" s="147" t="s">
        <v>52</v>
      </c>
      <c r="H431" s="96">
        <f>IF(G431="CORTESIA",0,D431*F431)</f>
      </c>
      <c r="I431" s="147" t="s">
        <v>22</v>
      </c>
      <c r="J431" s="149" t="s">
        <v>184</v>
      </c>
      <c r="K431" s="147"/>
      <c r="L431" s="1"/>
      <c r="M431" s="1"/>
      <c r="N431" s="3"/>
    </row>
    <row x14ac:dyDescent="0.25" r="432" customHeight="1" ht="18.75" hidden="1">
      <c r="A432" s="67">
        <v>45750</v>
      </c>
      <c r="B432" s="154" t="s">
        <v>88</v>
      </c>
      <c r="C432" s="160">
        <f>VLOOKUP(B432,CONFIGURAÇÃO!H:I,2,FALSE)</f>
      </c>
      <c r="D432" s="148">
        <v>1</v>
      </c>
      <c r="E432" s="149" t="s">
        <v>78</v>
      </c>
      <c r="F432" s="96">
        <f>VLOOKUP(E432,CONFIGURAÇÃO!E:F,2,0)</f>
      </c>
      <c r="G432" s="147" t="s">
        <v>13</v>
      </c>
      <c r="H432" s="96">
        <f>IF(G432="CORTESIA",0,D432*F432)</f>
      </c>
      <c r="I432" s="147" t="s">
        <v>22</v>
      </c>
      <c r="J432" s="149" t="s">
        <v>184</v>
      </c>
      <c r="K432" s="147"/>
      <c r="L432" s="1"/>
      <c r="M432" s="1"/>
      <c r="N432" s="3"/>
    </row>
    <row x14ac:dyDescent="0.25" r="433" customHeight="1" ht="18.75" hidden="1">
      <c r="A433" s="65" t="s">
        <v>188</v>
      </c>
      <c r="B433" s="155" t="s">
        <v>88</v>
      </c>
      <c r="C433" s="160">
        <f>VLOOKUP(B433,CONFIGURAÇÃO!H:I,2,FALSE)</f>
      </c>
      <c r="D433" s="66">
        <v>1</v>
      </c>
      <c r="E433" s="147" t="s">
        <v>72</v>
      </c>
      <c r="F433" s="96">
        <f>VLOOKUP(E433,CONFIGURAÇÃO!E:F,2,0)</f>
      </c>
      <c r="G433" s="147" t="s">
        <v>13</v>
      </c>
      <c r="H433" s="96">
        <f>IF(G433="CORTESIA",0,D433*F433)</f>
      </c>
      <c r="I433" s="147" t="s">
        <v>22</v>
      </c>
      <c r="J433" s="149" t="s">
        <v>184</v>
      </c>
      <c r="K433" s="147"/>
      <c r="L433" s="1"/>
      <c r="M433" s="1"/>
      <c r="N433" s="3"/>
    </row>
    <row x14ac:dyDescent="0.25" r="434" customHeight="1" ht="18.75" hidden="1">
      <c r="A434" s="65" t="s">
        <v>205</v>
      </c>
      <c r="B434" s="155" t="s">
        <v>88</v>
      </c>
      <c r="C434" s="160">
        <f>VLOOKUP(B434,CONFIGURAÇÃO!H:I,2,FALSE)</f>
      </c>
      <c r="D434" s="66">
        <v>2</v>
      </c>
      <c r="E434" s="147" t="s">
        <v>72</v>
      </c>
      <c r="F434" s="96">
        <f>VLOOKUP(E434,CONFIGURAÇÃO!E:F,2,0)</f>
      </c>
      <c r="G434" s="147" t="s">
        <v>13</v>
      </c>
      <c r="H434" s="96">
        <f>IF(G434="CORTESIA",0,D434*F434)</f>
      </c>
      <c r="I434" s="147" t="s">
        <v>22</v>
      </c>
      <c r="J434" s="149" t="s">
        <v>184</v>
      </c>
      <c r="K434" s="147"/>
      <c r="L434" s="1"/>
      <c r="M434" s="1"/>
      <c r="N434" s="3"/>
    </row>
    <row x14ac:dyDescent="0.25" r="435" customHeight="1" ht="18.75" hidden="1">
      <c r="A435" s="65" t="s">
        <v>205</v>
      </c>
      <c r="B435" s="155" t="s">
        <v>88</v>
      </c>
      <c r="C435" s="160">
        <f>VLOOKUP(B435,CONFIGURAÇÃO!H:I,2,FALSE)</f>
      </c>
      <c r="D435" s="66">
        <v>1</v>
      </c>
      <c r="E435" s="147" t="s">
        <v>78</v>
      </c>
      <c r="F435" s="96">
        <f>VLOOKUP(E435,CONFIGURAÇÃO!E:F,2,0)</f>
      </c>
      <c r="G435" s="147" t="s">
        <v>13</v>
      </c>
      <c r="H435" s="96">
        <f>IF(G435="CORTESIA",0,D435*F435)</f>
      </c>
      <c r="I435" s="147" t="s">
        <v>22</v>
      </c>
      <c r="J435" s="149" t="s">
        <v>184</v>
      </c>
      <c r="K435" s="147"/>
      <c r="L435" s="1"/>
      <c r="M435" s="1"/>
      <c r="N435" s="3"/>
    </row>
    <row x14ac:dyDescent="0.25" r="436" customHeight="1" ht="18.75" hidden="1">
      <c r="A436" s="65" t="s">
        <v>205</v>
      </c>
      <c r="B436" s="155" t="s">
        <v>88</v>
      </c>
      <c r="C436" s="160">
        <f>VLOOKUP(B436,CONFIGURAÇÃO!H:I,2,FALSE)</f>
      </c>
      <c r="D436" s="66">
        <v>1</v>
      </c>
      <c r="E436" s="147" t="s">
        <v>72</v>
      </c>
      <c r="F436" s="96">
        <f>VLOOKUP(E436,CONFIGURAÇÃO!E:F,2,0)</f>
      </c>
      <c r="G436" s="147" t="s">
        <v>52</v>
      </c>
      <c r="H436" s="96">
        <f>IF(G436="CORTESIA",0,D436*F436)</f>
      </c>
      <c r="I436" s="147" t="s">
        <v>22</v>
      </c>
      <c r="J436" s="149" t="s">
        <v>184</v>
      </c>
      <c r="K436" s="147"/>
      <c r="L436" s="1"/>
      <c r="M436" s="1"/>
      <c r="N436" s="3"/>
    </row>
    <row x14ac:dyDescent="0.25" r="437" customHeight="1" ht="18.75" hidden="1">
      <c r="A437" s="67" t="s">
        <v>161</v>
      </c>
      <c r="B437" s="154" t="s">
        <v>88</v>
      </c>
      <c r="C437" s="160">
        <f>VLOOKUP(B437,CONFIGURAÇÃO!H:I,2,FALSE)</f>
      </c>
      <c r="D437" s="148">
        <v>2</v>
      </c>
      <c r="E437" s="149" t="s">
        <v>183</v>
      </c>
      <c r="F437" s="96">
        <f>VLOOKUP(E437,CONFIGURAÇÃO!E:F,2,0)</f>
      </c>
      <c r="G437" s="147" t="s">
        <v>13</v>
      </c>
      <c r="H437" s="96">
        <f>IF(G437="CORTESIA",0,D437*F437)</f>
      </c>
      <c r="I437" s="147" t="s">
        <v>22</v>
      </c>
      <c r="J437" s="149" t="s">
        <v>184</v>
      </c>
      <c r="K437" s="147"/>
      <c r="L437" s="1"/>
      <c r="M437" s="1"/>
      <c r="N437" s="3"/>
    </row>
    <row x14ac:dyDescent="0.25" r="438" customHeight="1" ht="18.75" hidden="1">
      <c r="A438" s="67" t="s">
        <v>162</v>
      </c>
      <c r="B438" s="154" t="s">
        <v>88</v>
      </c>
      <c r="C438" s="160">
        <f>VLOOKUP(B438,CONFIGURAÇÃO!H:I,2,FALSE)</f>
      </c>
      <c r="D438" s="148">
        <v>2</v>
      </c>
      <c r="E438" s="149" t="s">
        <v>78</v>
      </c>
      <c r="F438" s="96">
        <f>VLOOKUP(E438,CONFIGURAÇÃO!E:F,2,0)</f>
      </c>
      <c r="G438" s="147" t="s">
        <v>13</v>
      </c>
      <c r="H438" s="96">
        <f>IF(G438="CORTESIA",0,D438*F438)</f>
      </c>
      <c r="I438" s="147" t="s">
        <v>22</v>
      </c>
      <c r="J438" s="149" t="s">
        <v>184</v>
      </c>
      <c r="K438" s="147"/>
      <c r="L438" s="1"/>
      <c r="M438" s="1"/>
      <c r="N438" s="3"/>
    </row>
    <row x14ac:dyDescent="0.25" r="439" customHeight="1" ht="18.75" hidden="1">
      <c r="A439" s="67" t="s">
        <v>163</v>
      </c>
      <c r="B439" s="154" t="s">
        <v>88</v>
      </c>
      <c r="C439" s="160">
        <f>VLOOKUP(B439,CONFIGURAÇÃO!H:I,2,FALSE)</f>
      </c>
      <c r="D439" s="148">
        <v>3</v>
      </c>
      <c r="E439" s="149" t="s">
        <v>183</v>
      </c>
      <c r="F439" s="96">
        <f>VLOOKUP(E439,CONFIGURAÇÃO!E:F,2,0)</f>
      </c>
      <c r="G439" s="147" t="s">
        <v>13</v>
      </c>
      <c r="H439" s="96">
        <f>IF(G439="CORTESIA",0,D439*F439)</f>
      </c>
      <c r="I439" s="147" t="s">
        <v>22</v>
      </c>
      <c r="J439" s="149" t="s">
        <v>184</v>
      </c>
      <c r="K439" s="147"/>
      <c r="L439" s="1"/>
      <c r="M439" s="1"/>
      <c r="N439" s="3"/>
    </row>
    <row x14ac:dyDescent="0.25" r="440" customHeight="1" ht="18.75" hidden="1">
      <c r="A440" s="67" t="s">
        <v>164</v>
      </c>
      <c r="B440" s="154" t="s">
        <v>88</v>
      </c>
      <c r="C440" s="160">
        <f>VLOOKUP(B440,CONFIGURAÇÃO!H:I,2,FALSE)</f>
      </c>
      <c r="D440" s="148">
        <v>1</v>
      </c>
      <c r="E440" s="149" t="s">
        <v>183</v>
      </c>
      <c r="F440" s="96">
        <f>VLOOKUP(E440,CONFIGURAÇÃO!E:F,2,0)</f>
      </c>
      <c r="G440" s="147" t="s">
        <v>13</v>
      </c>
      <c r="H440" s="96">
        <f>IF(G440="CORTESIA",0,D440*F440)</f>
      </c>
      <c r="I440" s="147" t="s">
        <v>22</v>
      </c>
      <c r="J440" s="149" t="s">
        <v>184</v>
      </c>
      <c r="K440" s="147"/>
      <c r="L440" s="1"/>
      <c r="M440" s="1"/>
      <c r="N440" s="3"/>
    </row>
    <row x14ac:dyDescent="0.25" r="441" customHeight="1" ht="18.75" hidden="1">
      <c r="A441" s="65" t="s">
        <v>172</v>
      </c>
      <c r="B441" s="155" t="s">
        <v>316</v>
      </c>
      <c r="C441" s="160">
        <f>VLOOKUP(B441,CONFIGURAÇÃO!H:I,2,FALSE)</f>
      </c>
      <c r="D441" s="66">
        <v>1</v>
      </c>
      <c r="E441" s="147" t="s">
        <v>183</v>
      </c>
      <c r="F441" s="96">
        <f>VLOOKUP(E441,CONFIGURAÇÃO!E:F,2,0)</f>
      </c>
      <c r="G441" s="147" t="s">
        <v>13</v>
      </c>
      <c r="H441" s="96">
        <f>IF(G441="CORTESIA",0,D441*F441)</f>
      </c>
      <c r="I441" s="147" t="s">
        <v>19</v>
      </c>
      <c r="J441" s="149" t="s">
        <v>184</v>
      </c>
      <c r="K441" s="147"/>
      <c r="L441" s="1"/>
      <c r="M441" s="1"/>
      <c r="N441" s="3"/>
    </row>
    <row x14ac:dyDescent="0.25" r="442" customHeight="1" ht="18.75" hidden="1">
      <c r="A442" s="65" t="s">
        <v>159</v>
      </c>
      <c r="B442" s="155" t="s">
        <v>316</v>
      </c>
      <c r="C442" s="160">
        <f>VLOOKUP(B442,CONFIGURAÇÃO!H:I,2,FALSE)</f>
      </c>
      <c r="D442" s="66">
        <v>1</v>
      </c>
      <c r="E442" s="147" t="s">
        <v>78</v>
      </c>
      <c r="F442" s="96">
        <f>VLOOKUP(E442,CONFIGURAÇÃO!E:F,2,0)</f>
      </c>
      <c r="G442" s="147" t="s">
        <v>13</v>
      </c>
      <c r="H442" s="96">
        <f>IF(G442="CORTESIA",0,D442*F442)</f>
      </c>
      <c r="I442" s="147" t="s">
        <v>19</v>
      </c>
      <c r="J442" s="149" t="s">
        <v>184</v>
      </c>
      <c r="K442" s="147"/>
      <c r="L442" s="1"/>
      <c r="M442" s="1"/>
      <c r="N442" s="3"/>
    </row>
    <row x14ac:dyDescent="0.25" r="443" customHeight="1" ht="18.75" hidden="1">
      <c r="A443" s="65" t="s">
        <v>159</v>
      </c>
      <c r="B443" s="155" t="s">
        <v>316</v>
      </c>
      <c r="C443" s="160">
        <f>VLOOKUP(B443,CONFIGURAÇÃO!H:I,2,FALSE)</f>
      </c>
      <c r="D443" s="66">
        <v>1</v>
      </c>
      <c r="E443" s="147" t="s">
        <v>72</v>
      </c>
      <c r="F443" s="96">
        <f>VLOOKUP(E443,CONFIGURAÇÃO!E:F,2,0)</f>
      </c>
      <c r="G443" s="147" t="s">
        <v>13</v>
      </c>
      <c r="H443" s="96">
        <f>IF(G443="CORTESIA",0,D443*F443)</f>
      </c>
      <c r="I443" s="147" t="s">
        <v>19</v>
      </c>
      <c r="J443" s="149" t="s">
        <v>184</v>
      </c>
      <c r="K443" s="147"/>
      <c r="L443" s="1"/>
      <c r="M443" s="1"/>
      <c r="N443" s="3"/>
    </row>
    <row x14ac:dyDescent="0.25" r="444" customHeight="1" ht="18.75" hidden="1">
      <c r="A444" s="65" t="s">
        <v>160</v>
      </c>
      <c r="B444" s="155" t="s">
        <v>316</v>
      </c>
      <c r="C444" s="160">
        <f>VLOOKUP(B444,CONFIGURAÇÃO!H:I,2,FALSE)</f>
      </c>
      <c r="D444" s="66">
        <v>2</v>
      </c>
      <c r="E444" s="147" t="s">
        <v>78</v>
      </c>
      <c r="F444" s="96">
        <f>VLOOKUP(E444,CONFIGURAÇÃO!E:F,2,0)</f>
      </c>
      <c r="G444" s="147" t="s">
        <v>13</v>
      </c>
      <c r="H444" s="96">
        <f>IF(G444="CORTESIA",0,D444*F444)</f>
      </c>
      <c r="I444" s="147" t="s">
        <v>19</v>
      </c>
      <c r="J444" s="149" t="s">
        <v>184</v>
      </c>
      <c r="K444" s="147"/>
      <c r="L444" s="1"/>
      <c r="M444" s="1"/>
      <c r="N444" s="3"/>
    </row>
    <row x14ac:dyDescent="0.25" r="445" customHeight="1" ht="18.75" hidden="1">
      <c r="A445" s="65" t="s">
        <v>160</v>
      </c>
      <c r="B445" s="155" t="s">
        <v>316</v>
      </c>
      <c r="C445" s="160">
        <f>VLOOKUP(B445,CONFIGURAÇÃO!H:I,2,FALSE)</f>
      </c>
      <c r="D445" s="66">
        <v>1</v>
      </c>
      <c r="E445" s="147" t="s">
        <v>78</v>
      </c>
      <c r="F445" s="96">
        <f>VLOOKUP(E445,CONFIGURAÇÃO!E:F,2,0)</f>
      </c>
      <c r="G445" s="147" t="s">
        <v>13</v>
      </c>
      <c r="H445" s="96">
        <f>IF(G445="CORTESIA",0,D445*F445)</f>
      </c>
      <c r="I445" s="147" t="s">
        <v>19</v>
      </c>
      <c r="J445" s="149" t="s">
        <v>184</v>
      </c>
      <c r="K445" s="147"/>
      <c r="L445" s="1"/>
      <c r="M445" s="1"/>
      <c r="N445" s="3"/>
    </row>
    <row x14ac:dyDescent="0.25" r="446" customHeight="1" ht="18.75" hidden="1">
      <c r="A446" s="65" t="s">
        <v>228</v>
      </c>
      <c r="B446" s="155" t="s">
        <v>316</v>
      </c>
      <c r="C446" s="160">
        <f>VLOOKUP(B446,CONFIGURAÇÃO!H:I,2,FALSE)</f>
      </c>
      <c r="D446" s="66">
        <v>1</v>
      </c>
      <c r="E446" s="147" t="s">
        <v>72</v>
      </c>
      <c r="F446" s="96">
        <f>VLOOKUP(E446,CONFIGURAÇÃO!E:F,2,0)</f>
      </c>
      <c r="G446" s="147" t="s">
        <v>13</v>
      </c>
      <c r="H446" s="96">
        <f>IF(G446="CORTESIA",0,D446*F446)</f>
      </c>
      <c r="I446" s="147" t="s">
        <v>19</v>
      </c>
      <c r="J446" s="149" t="s">
        <v>184</v>
      </c>
      <c r="K446" s="147"/>
      <c r="L446" s="1"/>
      <c r="M446" s="1"/>
      <c r="N446" s="3"/>
    </row>
    <row x14ac:dyDescent="0.25" r="447" customHeight="1" ht="18.75" hidden="1">
      <c r="A447" s="67" t="s">
        <v>172</v>
      </c>
      <c r="B447" s="154" t="s">
        <v>317</v>
      </c>
      <c r="C447" s="160">
        <f>VLOOKUP(B447,CONFIGURAÇÃO!H:I,2,FALSE)</f>
      </c>
      <c r="D447" s="148">
        <v>1</v>
      </c>
      <c r="E447" s="149" t="s">
        <v>78</v>
      </c>
      <c r="F447" s="96">
        <f>VLOOKUP(E447,CONFIGURAÇÃO!E:F,2,0)</f>
      </c>
      <c r="G447" s="147" t="s">
        <v>73</v>
      </c>
      <c r="H447" s="96">
        <f>IF(G447="CORTESIA",0,D447*F447)</f>
      </c>
      <c r="I447" s="147" t="s">
        <v>50</v>
      </c>
      <c r="J447" s="149" t="s">
        <v>184</v>
      </c>
      <c r="K447" s="147"/>
      <c r="L447" s="1"/>
      <c r="M447" s="1"/>
      <c r="N447" s="3"/>
    </row>
    <row x14ac:dyDescent="0.25" r="448" customHeight="1" ht="18.75" hidden="1">
      <c r="A448" s="67">
        <v>45740</v>
      </c>
      <c r="B448" s="154" t="s">
        <v>318</v>
      </c>
      <c r="C448" s="160">
        <f>VLOOKUP(B448,CONFIGURAÇÃO!H:I,2,FALSE)</f>
      </c>
      <c r="D448" s="148">
        <v>1</v>
      </c>
      <c r="E448" s="149" t="s">
        <v>72</v>
      </c>
      <c r="F448" s="96">
        <f>VLOOKUP(E448,CONFIGURAÇÃO!E:F,2,0)</f>
      </c>
      <c r="G448" s="147" t="s">
        <v>73</v>
      </c>
      <c r="H448" s="96">
        <f>IF(G448="CORTESIA",0,D448*F448)</f>
      </c>
      <c r="I448" s="147" t="s">
        <v>50</v>
      </c>
      <c r="J448" s="149" t="s">
        <v>184</v>
      </c>
      <c r="K448" s="147"/>
      <c r="L448" s="1"/>
      <c r="M448" s="1"/>
      <c r="N448" s="3"/>
    </row>
    <row x14ac:dyDescent="0.25" r="449" customHeight="1" ht="18.75" hidden="1">
      <c r="A449" s="67" t="s">
        <v>198</v>
      </c>
      <c r="B449" s="154" t="s">
        <v>318</v>
      </c>
      <c r="C449" s="160">
        <f>VLOOKUP(B449,CONFIGURAÇÃO!H:I,2,FALSE)</f>
      </c>
      <c r="D449" s="148">
        <v>2</v>
      </c>
      <c r="E449" s="149" t="s">
        <v>183</v>
      </c>
      <c r="F449" s="96">
        <f>VLOOKUP(E449,CONFIGURAÇÃO!E:F,2,0)</f>
      </c>
      <c r="G449" s="147" t="s">
        <v>73</v>
      </c>
      <c r="H449" s="96">
        <f>IF(G449="CORTESIA",0,D449*F449)</f>
      </c>
      <c r="I449" s="147" t="s">
        <v>50</v>
      </c>
      <c r="J449" s="149" t="s">
        <v>184</v>
      </c>
      <c r="K449" s="147"/>
      <c r="L449" s="1"/>
      <c r="M449" s="1"/>
      <c r="N449" s="3"/>
    </row>
    <row x14ac:dyDescent="0.25" r="450" customHeight="1" ht="18.75" hidden="1">
      <c r="A450" s="67" t="s">
        <v>178</v>
      </c>
      <c r="B450" s="154" t="s">
        <v>318</v>
      </c>
      <c r="C450" s="160">
        <f>VLOOKUP(B450,CONFIGURAÇÃO!H:I,2,FALSE)</f>
      </c>
      <c r="D450" s="148">
        <v>1</v>
      </c>
      <c r="E450" s="149" t="s">
        <v>72</v>
      </c>
      <c r="F450" s="96">
        <f>VLOOKUP(E450,CONFIGURAÇÃO!E:F,2,0)</f>
      </c>
      <c r="G450" s="147" t="s">
        <v>73</v>
      </c>
      <c r="H450" s="96">
        <f>IF(G450="CORTESIA",0,D450*F450)</f>
      </c>
      <c r="I450" s="147" t="s">
        <v>50</v>
      </c>
      <c r="J450" s="149" t="s">
        <v>184</v>
      </c>
      <c r="K450" s="147"/>
      <c r="L450" s="1"/>
      <c r="M450" s="1"/>
      <c r="N450" s="3"/>
    </row>
    <row x14ac:dyDescent="0.25" r="451" customHeight="1" ht="18.75" hidden="1">
      <c r="A451" s="65" t="s">
        <v>38</v>
      </c>
      <c r="B451" s="154" t="s">
        <v>318</v>
      </c>
      <c r="C451" s="160">
        <f>VLOOKUP(B451,CONFIGURAÇÃO!H:I,2,FALSE)</f>
      </c>
      <c r="D451" s="66">
        <v>1</v>
      </c>
      <c r="E451" s="147" t="s">
        <v>78</v>
      </c>
      <c r="F451" s="96">
        <f>VLOOKUP(E451,CONFIGURAÇÃO!E:F,2,0)</f>
      </c>
      <c r="G451" s="147" t="s">
        <v>73</v>
      </c>
      <c r="H451" s="96">
        <f>IF(G451="CORTESIA",0,D451*F451)</f>
      </c>
      <c r="I451" s="147" t="s">
        <v>50</v>
      </c>
      <c r="J451" s="149" t="s">
        <v>184</v>
      </c>
      <c r="K451" s="147" t="s">
        <v>319</v>
      </c>
      <c r="L451" s="1"/>
      <c r="M451" s="1"/>
      <c r="N451" s="3"/>
    </row>
    <row x14ac:dyDescent="0.25" r="452" customHeight="1" ht="18.75" hidden="1">
      <c r="A452" s="67" t="s">
        <v>188</v>
      </c>
      <c r="B452" s="154" t="s">
        <v>318</v>
      </c>
      <c r="C452" s="160">
        <f>VLOOKUP(B452,CONFIGURAÇÃO!H:I,2,FALSE)</f>
      </c>
      <c r="D452" s="148">
        <v>1</v>
      </c>
      <c r="E452" s="149" t="s">
        <v>171</v>
      </c>
      <c r="F452" s="96">
        <f>VLOOKUP(E452,CONFIGURAÇÃO!E:F,2,0)</f>
      </c>
      <c r="G452" s="147" t="s">
        <v>73</v>
      </c>
      <c r="H452" s="96">
        <f>IF(G452="CORTESIA",0,D452*F452)</f>
      </c>
      <c r="I452" s="147" t="s">
        <v>50</v>
      </c>
      <c r="J452" s="149" t="s">
        <v>184</v>
      </c>
      <c r="K452" s="147"/>
      <c r="L452" s="1"/>
      <c r="M452" s="1"/>
      <c r="N452" s="3"/>
    </row>
    <row x14ac:dyDescent="0.25" r="453" customHeight="1" ht="18.75" hidden="1">
      <c r="A453" s="67" t="s">
        <v>172</v>
      </c>
      <c r="B453" s="154" t="s">
        <v>318</v>
      </c>
      <c r="C453" s="160">
        <f>VLOOKUP(B453,CONFIGURAÇÃO!H:I,2,FALSE)</f>
      </c>
      <c r="D453" s="148">
        <v>1</v>
      </c>
      <c r="E453" s="149" t="s">
        <v>78</v>
      </c>
      <c r="F453" s="96">
        <f>VLOOKUP(E453,CONFIGURAÇÃO!E:F,2,0)</f>
      </c>
      <c r="G453" s="147" t="s">
        <v>73</v>
      </c>
      <c r="H453" s="96">
        <f>IF(G453="CORTESIA",0,D453*F453)</f>
      </c>
      <c r="I453" s="147" t="s">
        <v>50</v>
      </c>
      <c r="J453" s="149" t="s">
        <v>184</v>
      </c>
      <c r="K453" s="147"/>
      <c r="L453" s="1"/>
      <c r="M453" s="1"/>
      <c r="N453" s="3"/>
    </row>
    <row x14ac:dyDescent="0.25" r="454" customHeight="1" ht="18.75" hidden="1">
      <c r="A454" s="67" t="s">
        <v>159</v>
      </c>
      <c r="B454" s="154" t="s">
        <v>318</v>
      </c>
      <c r="C454" s="160">
        <f>VLOOKUP(B454,CONFIGURAÇÃO!H:I,2,FALSE)</f>
      </c>
      <c r="D454" s="148">
        <v>1</v>
      </c>
      <c r="E454" s="149" t="s">
        <v>72</v>
      </c>
      <c r="F454" s="96">
        <f>VLOOKUP(E454,CONFIGURAÇÃO!E:F,2,0)</f>
      </c>
      <c r="G454" s="147" t="s">
        <v>73</v>
      </c>
      <c r="H454" s="96">
        <f>IF(G454="CORTESIA",0,D454*F454)</f>
      </c>
      <c r="I454" s="147" t="s">
        <v>50</v>
      </c>
      <c r="J454" s="149" t="s">
        <v>184</v>
      </c>
      <c r="K454" s="147"/>
      <c r="L454" s="1"/>
      <c r="M454" s="1"/>
      <c r="N454" s="3"/>
    </row>
    <row x14ac:dyDescent="0.25" r="455" customHeight="1" ht="18.75" hidden="1">
      <c r="A455" s="67" t="s">
        <v>159</v>
      </c>
      <c r="B455" s="154" t="s">
        <v>318</v>
      </c>
      <c r="C455" s="160">
        <f>VLOOKUP(B455,CONFIGURAÇÃO!H:I,2,FALSE)</f>
      </c>
      <c r="D455" s="148">
        <v>1</v>
      </c>
      <c r="E455" s="149" t="s">
        <v>183</v>
      </c>
      <c r="F455" s="96">
        <f>VLOOKUP(E455,CONFIGURAÇÃO!E:F,2,0)</f>
      </c>
      <c r="G455" s="147" t="s">
        <v>73</v>
      </c>
      <c r="H455" s="96">
        <f>IF(G455="CORTESIA",0,D455*F455)</f>
      </c>
      <c r="I455" s="147" t="s">
        <v>50</v>
      </c>
      <c r="J455" s="149" t="s">
        <v>184</v>
      </c>
      <c r="K455" s="147"/>
      <c r="L455" s="1"/>
      <c r="M455" s="1"/>
      <c r="N455" s="3"/>
    </row>
    <row x14ac:dyDescent="0.25" r="456" customHeight="1" ht="18.75" hidden="1">
      <c r="A456" s="67" t="s">
        <v>160</v>
      </c>
      <c r="B456" s="154" t="s">
        <v>318</v>
      </c>
      <c r="C456" s="160">
        <f>VLOOKUP(B456,CONFIGURAÇÃO!H:I,2,FALSE)</f>
      </c>
      <c r="D456" s="148">
        <v>1</v>
      </c>
      <c r="E456" s="149" t="s">
        <v>183</v>
      </c>
      <c r="F456" s="96">
        <f>VLOOKUP(E456,CONFIGURAÇÃO!E:F,2,0)</f>
      </c>
      <c r="G456" s="147" t="s">
        <v>73</v>
      </c>
      <c r="H456" s="96">
        <f>IF(G456="CORTESIA",0,D456*F456)</f>
      </c>
      <c r="I456" s="147" t="s">
        <v>50</v>
      </c>
      <c r="J456" s="149" t="s">
        <v>184</v>
      </c>
      <c r="K456" s="147"/>
      <c r="L456" s="1"/>
      <c r="M456" s="1"/>
      <c r="N456" s="3"/>
    </row>
    <row x14ac:dyDescent="0.25" r="457" customHeight="1" ht="18.75" hidden="1">
      <c r="A457" s="65" t="s">
        <v>44</v>
      </c>
      <c r="B457" s="154" t="s">
        <v>318</v>
      </c>
      <c r="C457" s="160">
        <f>VLOOKUP(B457,CONFIGURAÇÃO!H:I,2,FALSE)</f>
      </c>
      <c r="D457" s="66">
        <v>1</v>
      </c>
      <c r="E457" s="147" t="s">
        <v>171</v>
      </c>
      <c r="F457" s="96">
        <f>VLOOKUP(E457,CONFIGURAÇÃO!E:F,2,0)</f>
      </c>
      <c r="G457" s="147" t="s">
        <v>73</v>
      </c>
      <c r="H457" s="96">
        <f>IF(G457="CORTESIA",0,D457*F457)</f>
      </c>
      <c r="I457" s="147" t="s">
        <v>50</v>
      </c>
      <c r="J457" s="149" t="s">
        <v>184</v>
      </c>
      <c r="K457" s="147" t="s">
        <v>320</v>
      </c>
      <c r="L457" s="1"/>
      <c r="M457" s="1"/>
      <c r="N457" s="3"/>
    </row>
    <row x14ac:dyDescent="0.25" r="458" customHeight="1" ht="18.75" hidden="1">
      <c r="A458" s="65" t="s">
        <v>162</v>
      </c>
      <c r="B458" s="155" t="s">
        <v>318</v>
      </c>
      <c r="C458" s="160">
        <f>VLOOKUP(B458,CONFIGURAÇÃO!H:I,2,FALSE)</f>
      </c>
      <c r="D458" s="66">
        <v>1</v>
      </c>
      <c r="E458" s="147" t="s">
        <v>72</v>
      </c>
      <c r="F458" s="96">
        <f>VLOOKUP(E458,CONFIGURAÇÃO!E:F,2,0)</f>
      </c>
      <c r="G458" s="147" t="s">
        <v>73</v>
      </c>
      <c r="H458" s="96">
        <f>IF(G458="CORTESIA",0,D458*F458)</f>
      </c>
      <c r="I458" s="147" t="s">
        <v>50</v>
      </c>
      <c r="J458" s="149" t="s">
        <v>184</v>
      </c>
      <c r="K458" s="147"/>
      <c r="L458" s="1"/>
      <c r="M458" s="1"/>
      <c r="N458" s="3"/>
    </row>
    <row x14ac:dyDescent="0.25" r="459" customHeight="1" ht="18.75" hidden="1">
      <c r="A459" s="65" t="s">
        <v>162</v>
      </c>
      <c r="B459" s="155" t="s">
        <v>321</v>
      </c>
      <c r="C459" s="160">
        <f>VLOOKUP(B459,CONFIGURAÇÃO!H:I,2,FALSE)</f>
      </c>
      <c r="D459" s="66">
        <v>2</v>
      </c>
      <c r="E459" s="147" t="s">
        <v>72</v>
      </c>
      <c r="F459" s="96">
        <f>VLOOKUP(E459,CONFIGURAÇÃO!E:F,2,0)</f>
      </c>
      <c r="G459" s="147" t="s">
        <v>73</v>
      </c>
      <c r="H459" s="96">
        <f>IF(G459="CORTESIA",0,D459*F459)</f>
      </c>
      <c r="I459" s="147" t="s">
        <v>50</v>
      </c>
      <c r="J459" s="149" t="s">
        <v>184</v>
      </c>
      <c r="K459" s="147"/>
      <c r="L459" s="1"/>
      <c r="M459" s="1"/>
      <c r="N459" s="3"/>
    </row>
    <row x14ac:dyDescent="0.25" r="460" customHeight="1" ht="18.75" hidden="1">
      <c r="A460" s="65" t="s">
        <v>162</v>
      </c>
      <c r="B460" s="155" t="s">
        <v>321</v>
      </c>
      <c r="C460" s="160">
        <f>VLOOKUP(B460,CONFIGURAÇÃO!H:I,2,FALSE)</f>
      </c>
      <c r="D460" s="66">
        <v>1</v>
      </c>
      <c r="E460" s="147" t="s">
        <v>78</v>
      </c>
      <c r="F460" s="96">
        <f>VLOOKUP(E460,CONFIGURAÇÃO!E:F,2,0)</f>
      </c>
      <c r="G460" s="147" t="s">
        <v>73</v>
      </c>
      <c r="H460" s="96">
        <f>IF(G460="CORTESIA",0,D460*F460)</f>
      </c>
      <c r="I460" s="147" t="s">
        <v>50</v>
      </c>
      <c r="J460" s="149" t="s">
        <v>184</v>
      </c>
      <c r="K460" s="147"/>
      <c r="L460" s="1"/>
      <c r="M460" s="1"/>
      <c r="N460" s="3"/>
    </row>
    <row x14ac:dyDescent="0.25" r="461" customHeight="1" ht="18.75" hidden="1">
      <c r="A461" s="65" t="s">
        <v>162</v>
      </c>
      <c r="B461" s="155" t="s">
        <v>322</v>
      </c>
      <c r="C461" s="160">
        <f>VLOOKUP(B461,CONFIGURAÇÃO!H:I,2,FALSE)</f>
      </c>
      <c r="D461" s="66">
        <v>2</v>
      </c>
      <c r="E461" s="147" t="s">
        <v>78</v>
      </c>
      <c r="F461" s="96">
        <f>VLOOKUP(E461,CONFIGURAÇÃO!E:F,2,0)</f>
      </c>
      <c r="G461" s="147" t="s">
        <v>73</v>
      </c>
      <c r="H461" s="96">
        <f>IF(G461="CORTESIA",0,D461*F461)</f>
      </c>
      <c r="I461" s="147" t="s">
        <v>50</v>
      </c>
      <c r="J461" s="149" t="s">
        <v>184</v>
      </c>
      <c r="K461" s="147"/>
      <c r="L461" s="1"/>
      <c r="M461" s="1"/>
      <c r="N461" s="3"/>
    </row>
    <row x14ac:dyDescent="0.25" r="462" customHeight="1" ht="18.75" hidden="1">
      <c r="A462" s="67">
        <v>45749</v>
      </c>
      <c r="B462" s="154" t="s">
        <v>323</v>
      </c>
      <c r="C462" s="160">
        <f>VLOOKUP(B462,CONFIGURAÇÃO!H:I,2,FALSE)</f>
      </c>
      <c r="D462" s="148">
        <v>1</v>
      </c>
      <c r="E462" s="149" t="s">
        <v>183</v>
      </c>
      <c r="F462" s="96">
        <f>VLOOKUP(E462,CONFIGURAÇÃO!E:F,2,0)</f>
      </c>
      <c r="G462" s="147" t="s">
        <v>13</v>
      </c>
      <c r="H462" s="96">
        <f>IF(G462="CORTESIA",0,D462*F462)</f>
      </c>
      <c r="I462" s="147" t="s">
        <v>22</v>
      </c>
      <c r="J462" s="149" t="s">
        <v>184</v>
      </c>
      <c r="K462" s="147"/>
      <c r="L462" s="1"/>
      <c r="M462" s="1"/>
      <c r="N462" s="3"/>
    </row>
    <row x14ac:dyDescent="0.25" r="463" customHeight="1" ht="18.75" hidden="1">
      <c r="A463" s="67" t="s">
        <v>198</v>
      </c>
      <c r="B463" s="154" t="s">
        <v>324</v>
      </c>
      <c r="C463" s="160">
        <f>VLOOKUP(B463,CONFIGURAÇÃO!H:I,2,FALSE)</f>
      </c>
      <c r="D463" s="148">
        <v>1</v>
      </c>
      <c r="E463" s="149" t="s">
        <v>183</v>
      </c>
      <c r="F463" s="96">
        <f>VLOOKUP(E463,CONFIGURAÇÃO!E:F,2,0)</f>
      </c>
      <c r="G463" s="147" t="s">
        <v>73</v>
      </c>
      <c r="H463" s="96">
        <f>IF(G463="CORTESIA",0,D463*F463)</f>
      </c>
      <c r="I463" s="147" t="s">
        <v>50</v>
      </c>
      <c r="J463" s="149" t="s">
        <v>184</v>
      </c>
      <c r="K463" s="147"/>
      <c r="L463" s="1"/>
      <c r="M463" s="1"/>
      <c r="N463" s="3"/>
    </row>
    <row x14ac:dyDescent="0.25" r="464" customHeight="1" ht="18.75" hidden="1">
      <c r="A464" s="67" t="s">
        <v>175</v>
      </c>
      <c r="B464" s="154" t="s">
        <v>324</v>
      </c>
      <c r="C464" s="160">
        <f>VLOOKUP(B464,CONFIGURAÇÃO!H:I,2,FALSE)</f>
      </c>
      <c r="D464" s="148">
        <v>1</v>
      </c>
      <c r="E464" s="149" t="s">
        <v>72</v>
      </c>
      <c r="F464" s="96">
        <f>VLOOKUP(E464,CONFIGURAÇÃO!E:F,2,0)</f>
      </c>
      <c r="G464" s="147" t="s">
        <v>73</v>
      </c>
      <c r="H464" s="96">
        <f>IF(G464="CORTESIA",0,D464*F464)</f>
      </c>
      <c r="I464" s="147" t="s">
        <v>50</v>
      </c>
      <c r="J464" s="149" t="s">
        <v>184</v>
      </c>
      <c r="K464" s="147"/>
      <c r="L464" s="1"/>
      <c r="M464" s="1"/>
      <c r="N464" s="3"/>
    </row>
    <row x14ac:dyDescent="0.25" r="465" customHeight="1" ht="18.75" hidden="1">
      <c r="A465" s="67" t="s">
        <v>188</v>
      </c>
      <c r="B465" s="154" t="s">
        <v>324</v>
      </c>
      <c r="C465" s="160">
        <f>VLOOKUP(B465,CONFIGURAÇÃO!H:I,2,FALSE)</f>
      </c>
      <c r="D465" s="148">
        <v>2</v>
      </c>
      <c r="E465" s="149" t="s">
        <v>78</v>
      </c>
      <c r="F465" s="96">
        <f>VLOOKUP(E465,CONFIGURAÇÃO!E:F,2,0)</f>
      </c>
      <c r="G465" s="147" t="s">
        <v>73</v>
      </c>
      <c r="H465" s="96">
        <f>IF(G465="CORTESIA",0,D465*F465)</f>
      </c>
      <c r="I465" s="147" t="s">
        <v>50</v>
      </c>
      <c r="J465" s="149" t="s">
        <v>184</v>
      </c>
      <c r="K465" s="147"/>
      <c r="L465" s="1"/>
      <c r="M465" s="1"/>
      <c r="N465" s="3"/>
    </row>
    <row x14ac:dyDescent="0.25" r="466" customHeight="1" ht="18.75" hidden="1">
      <c r="A466" s="67" t="s">
        <v>172</v>
      </c>
      <c r="B466" s="154" t="s">
        <v>324</v>
      </c>
      <c r="C466" s="160">
        <f>VLOOKUP(B466,CONFIGURAÇÃO!H:I,2,FALSE)</f>
      </c>
      <c r="D466" s="148">
        <v>1</v>
      </c>
      <c r="E466" s="149" t="s">
        <v>183</v>
      </c>
      <c r="F466" s="96">
        <f>VLOOKUP(E466,CONFIGURAÇÃO!E:F,2,0)</f>
      </c>
      <c r="G466" s="147" t="s">
        <v>73</v>
      </c>
      <c r="H466" s="96">
        <f>IF(G466="CORTESIA",0,D466*F466)</f>
      </c>
      <c r="I466" s="147" t="s">
        <v>50</v>
      </c>
      <c r="J466" s="149" t="s">
        <v>184</v>
      </c>
      <c r="K466" s="147"/>
      <c r="L466" s="1"/>
      <c r="M466" s="1"/>
      <c r="N466" s="3"/>
    </row>
    <row x14ac:dyDescent="0.25" r="467" customHeight="1" ht="18.75" hidden="1">
      <c r="A467" s="65" t="s">
        <v>164</v>
      </c>
      <c r="B467" s="155" t="s">
        <v>324</v>
      </c>
      <c r="C467" s="160">
        <f>VLOOKUP(B467,CONFIGURAÇÃO!H:I,2,FALSE)</f>
      </c>
      <c r="D467" s="66">
        <v>1</v>
      </c>
      <c r="E467" s="147" t="s">
        <v>78</v>
      </c>
      <c r="F467" s="96">
        <f>VLOOKUP(E467,CONFIGURAÇÃO!E:F,2,0)</f>
      </c>
      <c r="G467" s="147" t="s">
        <v>73</v>
      </c>
      <c r="H467" s="96">
        <f>IF(G467="CORTESIA",0,D467*F467)</f>
      </c>
      <c r="I467" s="147" t="s">
        <v>50</v>
      </c>
      <c r="J467" s="149" t="s">
        <v>184</v>
      </c>
      <c r="K467" s="147"/>
      <c r="L467" s="1"/>
      <c r="M467" s="1"/>
      <c r="N467" s="3"/>
    </row>
    <row x14ac:dyDescent="0.25" r="468" customHeight="1" ht="18.75" hidden="1">
      <c r="A468" s="65" t="s">
        <v>189</v>
      </c>
      <c r="B468" s="155" t="s">
        <v>324</v>
      </c>
      <c r="C468" s="160">
        <f>VLOOKUP(B468,CONFIGURAÇÃO!H:I,2,FALSE)</f>
      </c>
      <c r="D468" s="66">
        <v>1</v>
      </c>
      <c r="E468" s="147" t="s">
        <v>72</v>
      </c>
      <c r="F468" s="96">
        <f>VLOOKUP(E468,CONFIGURAÇÃO!E:F,2,0)</f>
      </c>
      <c r="G468" s="147" t="s">
        <v>73</v>
      </c>
      <c r="H468" s="96">
        <f>IF(G468="CORTESIA",0,D468*F468)</f>
      </c>
      <c r="I468" s="147" t="s">
        <v>50</v>
      </c>
      <c r="J468" s="147"/>
      <c r="K468" s="147"/>
      <c r="L468" s="1"/>
      <c r="M468" s="1"/>
      <c r="N468" s="3"/>
    </row>
    <row x14ac:dyDescent="0.25" r="469" customHeight="1" ht="18.75" hidden="1">
      <c r="A469" s="65" t="s">
        <v>228</v>
      </c>
      <c r="B469" s="155" t="s">
        <v>325</v>
      </c>
      <c r="C469" s="160">
        <f>VLOOKUP(B469,CONFIGURAÇÃO!H:I,2,FALSE)</f>
      </c>
      <c r="D469" s="66">
        <v>2</v>
      </c>
      <c r="E469" s="147" t="s">
        <v>72</v>
      </c>
      <c r="F469" s="96">
        <f>VLOOKUP(E469,CONFIGURAÇÃO!E:F,2,0)</f>
      </c>
      <c r="G469" s="147" t="s">
        <v>13</v>
      </c>
      <c r="H469" s="96">
        <f>IF(G469="CORTESIA",0,D469*F469)</f>
      </c>
      <c r="I469" s="147" t="s">
        <v>19</v>
      </c>
      <c r="J469" s="149" t="s">
        <v>184</v>
      </c>
      <c r="K469" s="147" t="s">
        <v>326</v>
      </c>
      <c r="L469" s="1"/>
      <c r="M469" s="1"/>
      <c r="N469" s="3"/>
    </row>
    <row x14ac:dyDescent="0.25" r="470" customHeight="1" ht="18.75" hidden="1">
      <c r="A470" s="67" t="s">
        <v>162</v>
      </c>
      <c r="B470" s="154" t="s">
        <v>325</v>
      </c>
      <c r="C470" s="160">
        <f>VLOOKUP(B470,CONFIGURAÇÃO!H:I,2,FALSE)</f>
      </c>
      <c r="D470" s="148">
        <v>1</v>
      </c>
      <c r="E470" s="149" t="s">
        <v>183</v>
      </c>
      <c r="F470" s="96">
        <f>VLOOKUP(E470,CONFIGURAÇÃO!E:F,2,0)</f>
      </c>
      <c r="G470" s="147" t="s">
        <v>13</v>
      </c>
      <c r="H470" s="96">
        <f>IF(G470="CORTESIA",0,D470*F470)</f>
      </c>
      <c r="I470" s="147" t="s">
        <v>19</v>
      </c>
      <c r="J470" s="149" t="s">
        <v>184</v>
      </c>
      <c r="K470" s="147"/>
      <c r="L470" s="1"/>
      <c r="M470" s="1"/>
      <c r="N470" s="3"/>
    </row>
    <row x14ac:dyDescent="0.25" r="471" customHeight="1" ht="18.75" hidden="1">
      <c r="A471" s="65">
        <v>45733</v>
      </c>
      <c r="B471" s="155" t="s">
        <v>327</v>
      </c>
      <c r="C471" s="160">
        <f>VLOOKUP(B471,CONFIGURAÇÃO!H:I,2,FALSE)</f>
      </c>
      <c r="D471" s="66">
        <v>1</v>
      </c>
      <c r="E471" s="147" t="s">
        <v>78</v>
      </c>
      <c r="F471" s="96">
        <f>VLOOKUP(E471,CONFIGURAÇÃO!E:F,2,0)</f>
      </c>
      <c r="G471" s="147" t="s">
        <v>73</v>
      </c>
      <c r="H471" s="96">
        <f>IF(G471="CORTESIA",0,D471*F471)</f>
      </c>
      <c r="I471" s="147" t="s">
        <v>22</v>
      </c>
      <c r="J471" s="149" t="s">
        <v>184</v>
      </c>
      <c r="K471" s="147"/>
      <c r="L471" s="1"/>
      <c r="M471" s="1"/>
      <c r="N471" s="3"/>
    </row>
    <row x14ac:dyDescent="0.25" r="472" customHeight="1" ht="18.75" hidden="1">
      <c r="A472" s="65" t="s">
        <v>188</v>
      </c>
      <c r="B472" s="155" t="s">
        <v>327</v>
      </c>
      <c r="C472" s="160">
        <f>VLOOKUP(B472,CONFIGURAÇÃO!H:I,2,FALSE)</f>
      </c>
      <c r="D472" s="66">
        <v>1</v>
      </c>
      <c r="E472" s="147" t="s">
        <v>72</v>
      </c>
      <c r="F472" s="96">
        <f>VLOOKUP(E472,CONFIGURAÇÃO!E:F,2,0)</f>
      </c>
      <c r="G472" s="147" t="s">
        <v>73</v>
      </c>
      <c r="H472" s="96">
        <f>IF(G472="CORTESIA",0,D472*F472)</f>
      </c>
      <c r="I472" s="147" t="s">
        <v>22</v>
      </c>
      <c r="J472" s="149" t="s">
        <v>184</v>
      </c>
      <c r="K472" s="147"/>
      <c r="L472" s="1"/>
      <c r="M472" s="1"/>
      <c r="N472" s="3"/>
    </row>
    <row x14ac:dyDescent="0.25" r="473" customHeight="1" ht="18.75" hidden="1">
      <c r="A473" s="65" t="s">
        <v>172</v>
      </c>
      <c r="B473" s="155" t="s">
        <v>327</v>
      </c>
      <c r="C473" s="160">
        <f>VLOOKUP(B473,CONFIGURAÇÃO!H:I,2,FALSE)</f>
      </c>
      <c r="D473" s="66">
        <v>1</v>
      </c>
      <c r="E473" s="147" t="s">
        <v>183</v>
      </c>
      <c r="F473" s="96">
        <f>VLOOKUP(E473,CONFIGURAÇÃO!E:F,2,0)</f>
      </c>
      <c r="G473" s="147" t="s">
        <v>73</v>
      </c>
      <c r="H473" s="96">
        <f>IF(G473="CORTESIA",0,D473*F473)</f>
      </c>
      <c r="I473" s="147" t="s">
        <v>22</v>
      </c>
      <c r="J473" s="149" t="s">
        <v>184</v>
      </c>
      <c r="K473" s="147"/>
      <c r="L473" s="1"/>
      <c r="M473" s="1"/>
      <c r="N473" s="3"/>
    </row>
    <row x14ac:dyDescent="0.25" r="474" customHeight="1" ht="18.75" hidden="1">
      <c r="A474" s="65" t="s">
        <v>160</v>
      </c>
      <c r="B474" s="155" t="s">
        <v>327</v>
      </c>
      <c r="C474" s="160">
        <f>VLOOKUP(B474,CONFIGURAÇÃO!H:I,2,FALSE)</f>
      </c>
      <c r="D474" s="66">
        <v>1</v>
      </c>
      <c r="E474" s="147" t="s">
        <v>78</v>
      </c>
      <c r="F474" s="96">
        <f>VLOOKUP(E474,CONFIGURAÇÃO!E:F,2,0)</f>
      </c>
      <c r="G474" s="147" t="s">
        <v>52</v>
      </c>
      <c r="H474" s="96">
        <f>IF(G474="CORTESIA",0,D474*F474)</f>
      </c>
      <c r="I474" s="147" t="s">
        <v>22</v>
      </c>
      <c r="J474" s="149" t="s">
        <v>184</v>
      </c>
      <c r="K474" s="147"/>
      <c r="L474" s="1"/>
      <c r="M474" s="1"/>
      <c r="N474" s="3"/>
    </row>
    <row x14ac:dyDescent="0.25" r="475" customHeight="1" ht="18.75" hidden="1">
      <c r="A475" s="65" t="s">
        <v>205</v>
      </c>
      <c r="B475" s="155" t="s">
        <v>327</v>
      </c>
      <c r="C475" s="160">
        <f>VLOOKUP(B475,CONFIGURAÇÃO!H:I,2,FALSE)</f>
      </c>
      <c r="D475" s="66">
        <v>1</v>
      </c>
      <c r="E475" s="147" t="s">
        <v>78</v>
      </c>
      <c r="F475" s="96">
        <f>VLOOKUP(E475,CONFIGURAÇÃO!E:F,2,0)</f>
      </c>
      <c r="G475" s="147" t="s">
        <v>52</v>
      </c>
      <c r="H475" s="96">
        <f>IF(G475="CORTESIA",0,D475*F475)</f>
      </c>
      <c r="I475" s="147" t="s">
        <v>22</v>
      </c>
      <c r="J475" s="149" t="s">
        <v>184</v>
      </c>
      <c r="K475" s="147"/>
      <c r="L475" s="1"/>
      <c r="M475" s="1"/>
      <c r="N475" s="3"/>
    </row>
    <row x14ac:dyDescent="0.25" r="476" customHeight="1" ht="18.75" hidden="1">
      <c r="A476" s="65" t="s">
        <v>189</v>
      </c>
      <c r="B476" s="155" t="s">
        <v>328</v>
      </c>
      <c r="C476" s="160">
        <f>VLOOKUP(B476,CONFIGURAÇÃO!H:I,2,FALSE)</f>
      </c>
      <c r="D476" s="66">
        <v>1</v>
      </c>
      <c r="E476" s="147" t="s">
        <v>78</v>
      </c>
      <c r="F476" s="96">
        <f>VLOOKUP(E476,CONFIGURAÇÃO!E:F,2,0)</f>
      </c>
      <c r="G476" s="147" t="s">
        <v>73</v>
      </c>
      <c r="H476" s="96">
        <f>IF(G476="CORTESIA",0,D476*F476)</f>
      </c>
      <c r="I476" s="147" t="s">
        <v>50</v>
      </c>
      <c r="J476" s="149" t="s">
        <v>74</v>
      </c>
      <c r="K476" s="147"/>
      <c r="L476" s="1"/>
      <c r="M476" s="1"/>
      <c r="N476" s="3"/>
    </row>
    <row x14ac:dyDescent="0.25" r="477" customHeight="1" ht="18.75" hidden="1">
      <c r="A477" s="67">
        <v>45740</v>
      </c>
      <c r="B477" s="154" t="s">
        <v>329</v>
      </c>
      <c r="C477" s="160">
        <f>VLOOKUP(B477,CONFIGURAÇÃO!H:I,2,FALSE)</f>
      </c>
      <c r="D477" s="148">
        <v>1</v>
      </c>
      <c r="E477" s="149" t="s">
        <v>171</v>
      </c>
      <c r="F477" s="96">
        <f>VLOOKUP(E477,CONFIGURAÇÃO!E:F,2,0)</f>
      </c>
      <c r="G477" s="147" t="s">
        <v>73</v>
      </c>
      <c r="H477" s="96">
        <f>IF(G477="CORTESIA",0,D477*F477)</f>
      </c>
      <c r="I477" s="147" t="s">
        <v>50</v>
      </c>
      <c r="J477" s="149" t="s">
        <v>184</v>
      </c>
      <c r="K477" s="147"/>
      <c r="L477" s="1"/>
      <c r="M477" s="1"/>
      <c r="N477" s="3"/>
    </row>
    <row x14ac:dyDescent="0.25" r="478" customHeight="1" ht="18.75" hidden="1">
      <c r="A478" s="67" t="s">
        <v>172</v>
      </c>
      <c r="B478" s="154" t="s">
        <v>329</v>
      </c>
      <c r="C478" s="160">
        <f>VLOOKUP(B478,CONFIGURAÇÃO!H:I,2,FALSE)</f>
      </c>
      <c r="D478" s="148">
        <v>1</v>
      </c>
      <c r="E478" s="149" t="s">
        <v>78</v>
      </c>
      <c r="F478" s="96">
        <f>VLOOKUP(E478,CONFIGURAÇÃO!E:F,2,0)</f>
      </c>
      <c r="G478" s="147" t="s">
        <v>73</v>
      </c>
      <c r="H478" s="96">
        <f>IF(G478="CORTESIA",0,D478*F478)</f>
      </c>
      <c r="I478" s="147" t="s">
        <v>50</v>
      </c>
      <c r="J478" s="149" t="s">
        <v>184</v>
      </c>
      <c r="K478" s="147"/>
      <c r="L478" s="1"/>
      <c r="M478" s="1"/>
      <c r="N478" s="3"/>
    </row>
    <row x14ac:dyDescent="0.25" r="479" customHeight="1" ht="18.75" hidden="1">
      <c r="A479" s="65" t="s">
        <v>164</v>
      </c>
      <c r="B479" s="155" t="s">
        <v>329</v>
      </c>
      <c r="C479" s="160">
        <f>VLOOKUP(B479,CONFIGURAÇÃO!H:I,2,FALSE)</f>
      </c>
      <c r="D479" s="66">
        <v>1</v>
      </c>
      <c r="E479" s="147" t="s">
        <v>78</v>
      </c>
      <c r="F479" s="96">
        <f>VLOOKUP(E479,CONFIGURAÇÃO!E:F,2,0)</f>
      </c>
      <c r="G479" s="147" t="s">
        <v>73</v>
      </c>
      <c r="H479" s="96">
        <f>IF(G479="CORTESIA",0,D479*F479)</f>
      </c>
      <c r="I479" s="147" t="s">
        <v>50</v>
      </c>
      <c r="J479" s="149" t="s">
        <v>184</v>
      </c>
      <c r="K479" s="147"/>
      <c r="L479" s="1"/>
      <c r="M479" s="1"/>
      <c r="N479" s="3"/>
    </row>
    <row x14ac:dyDescent="0.25" r="480" customHeight="1" ht="18.75" hidden="1">
      <c r="A480" s="67">
        <v>45750</v>
      </c>
      <c r="B480" s="154" t="s">
        <v>330</v>
      </c>
      <c r="C480" s="160">
        <f>VLOOKUP(B480,CONFIGURAÇÃO!H:I,2,FALSE)</f>
      </c>
      <c r="D480" s="148">
        <v>1</v>
      </c>
      <c r="E480" s="149" t="s">
        <v>78</v>
      </c>
      <c r="F480" s="96">
        <f>VLOOKUP(E480,CONFIGURAÇÃO!E:F,2,0)</f>
      </c>
      <c r="G480" s="147" t="s">
        <v>13</v>
      </c>
      <c r="H480" s="96">
        <f>IF(G480="CORTESIA",0,D480*F480)</f>
      </c>
      <c r="I480" s="147" t="s">
        <v>19</v>
      </c>
      <c r="J480" s="149" t="s">
        <v>184</v>
      </c>
      <c r="K480" s="147" t="s">
        <v>234</v>
      </c>
      <c r="L480" s="1"/>
      <c r="M480" s="1"/>
      <c r="N480" s="3"/>
    </row>
    <row x14ac:dyDescent="0.25" r="481" customHeight="1" ht="18.75" hidden="1">
      <c r="A481" s="67" t="s">
        <v>159</v>
      </c>
      <c r="B481" s="154" t="s">
        <v>330</v>
      </c>
      <c r="C481" s="160">
        <f>VLOOKUP(B481,CONFIGURAÇÃO!H:I,2,FALSE)</f>
      </c>
      <c r="D481" s="148">
        <v>1</v>
      </c>
      <c r="E481" s="149" t="s">
        <v>78</v>
      </c>
      <c r="F481" s="96">
        <f>VLOOKUP(E481,CONFIGURAÇÃO!E:F,2,0)</f>
      </c>
      <c r="G481" s="147" t="s">
        <v>13</v>
      </c>
      <c r="H481" s="96">
        <f>IF(G481="CORTESIA",0,D481*F481)</f>
      </c>
      <c r="I481" s="147" t="s">
        <v>50</v>
      </c>
      <c r="J481" s="149" t="s">
        <v>184</v>
      </c>
      <c r="K481" s="147"/>
      <c r="L481" s="1"/>
      <c r="M481" s="1"/>
      <c r="N481" s="3"/>
    </row>
    <row x14ac:dyDescent="0.25" r="482" customHeight="1" ht="18.75" hidden="1">
      <c r="A482" s="67" t="s">
        <v>178</v>
      </c>
      <c r="B482" s="154" t="s">
        <v>330</v>
      </c>
      <c r="C482" s="160">
        <f>VLOOKUP(B482,CONFIGURAÇÃO!H:I,2,FALSE)</f>
      </c>
      <c r="D482" s="148">
        <v>1</v>
      </c>
      <c r="E482" s="149" t="s">
        <v>72</v>
      </c>
      <c r="F482" s="96">
        <f>VLOOKUP(E482,CONFIGURAÇÃO!E:F,2,0)</f>
      </c>
      <c r="G482" s="147" t="s">
        <v>73</v>
      </c>
      <c r="H482" s="96">
        <f>IF(G482="CORTESIA",0,D482*F482)</f>
      </c>
      <c r="I482" s="147" t="s">
        <v>50</v>
      </c>
      <c r="J482" s="149" t="s">
        <v>184</v>
      </c>
      <c r="K482" s="147"/>
      <c r="L482" s="1"/>
      <c r="M482" s="1"/>
      <c r="N482" s="3"/>
    </row>
    <row x14ac:dyDescent="0.25" r="483" customHeight="1" ht="18.75" hidden="1">
      <c r="A483" s="67" t="s">
        <v>175</v>
      </c>
      <c r="B483" s="154" t="s">
        <v>330</v>
      </c>
      <c r="C483" s="160">
        <f>VLOOKUP(B483,CONFIGURAÇÃO!H:I,2,FALSE)</f>
      </c>
      <c r="D483" s="148">
        <v>1</v>
      </c>
      <c r="E483" s="149" t="s">
        <v>72</v>
      </c>
      <c r="F483" s="96">
        <f>VLOOKUP(E483,CONFIGURAÇÃO!E:F,2,0)</f>
      </c>
      <c r="G483" s="147" t="s">
        <v>73</v>
      </c>
      <c r="H483" s="96">
        <f>IF(G483="CORTESIA",0,D483*F483)</f>
      </c>
      <c r="I483" s="147" t="s">
        <v>50</v>
      </c>
      <c r="J483" s="149" t="s">
        <v>184</v>
      </c>
      <c r="K483" s="147"/>
      <c r="L483" s="1"/>
      <c r="M483" s="1"/>
      <c r="N483" s="3"/>
    </row>
    <row x14ac:dyDescent="0.25" r="484" customHeight="1" ht="18.75" hidden="1">
      <c r="A484" s="65" t="s">
        <v>164</v>
      </c>
      <c r="B484" s="155" t="s">
        <v>330</v>
      </c>
      <c r="C484" s="160">
        <f>VLOOKUP(B484,CONFIGURAÇÃO!H:I,2,FALSE)</f>
      </c>
      <c r="D484" s="66">
        <v>1</v>
      </c>
      <c r="E484" s="147" t="s">
        <v>78</v>
      </c>
      <c r="F484" s="96">
        <f>VLOOKUP(E484,CONFIGURAÇÃO!E:F,2,0)</f>
      </c>
      <c r="G484" s="147" t="s">
        <v>73</v>
      </c>
      <c r="H484" s="96">
        <f>IF(G484="CORTESIA",0,D484*F484)</f>
      </c>
      <c r="I484" s="147" t="s">
        <v>50</v>
      </c>
      <c r="J484" s="149" t="s">
        <v>184</v>
      </c>
      <c r="K484" s="147"/>
      <c r="L484" s="1"/>
      <c r="M484" s="1"/>
      <c r="N484" s="3"/>
    </row>
    <row x14ac:dyDescent="0.25" r="485" customHeight="1" ht="18.75" hidden="1">
      <c r="A485" s="67" t="s">
        <v>160</v>
      </c>
      <c r="B485" s="154" t="s">
        <v>330</v>
      </c>
      <c r="C485" s="160">
        <f>VLOOKUP(B485,CONFIGURAÇÃO!H:I,2,FALSE)</f>
      </c>
      <c r="D485" s="148">
        <v>1</v>
      </c>
      <c r="E485" s="149" t="s">
        <v>183</v>
      </c>
      <c r="F485" s="96">
        <f>VLOOKUP(E485,CONFIGURAÇÃO!E:F,2,0)</f>
      </c>
      <c r="G485" s="147" t="s">
        <v>13</v>
      </c>
      <c r="H485" s="96">
        <f>IF(G485="CORTESIA",0,D485*F485)</f>
      </c>
      <c r="I485" s="147" t="s">
        <v>50</v>
      </c>
      <c r="J485" s="149" t="s">
        <v>184</v>
      </c>
      <c r="K485" s="147"/>
      <c r="L485" s="1"/>
      <c r="M485" s="1"/>
      <c r="N485" s="3"/>
    </row>
    <row x14ac:dyDescent="0.25" r="486" customHeight="1" ht="18.75" hidden="1">
      <c r="A486" s="65" t="s">
        <v>162</v>
      </c>
      <c r="B486" s="155" t="s">
        <v>330</v>
      </c>
      <c r="C486" s="160">
        <f>VLOOKUP(B486,CONFIGURAÇÃO!H:I,2,FALSE)</f>
      </c>
      <c r="D486" s="66">
        <v>1</v>
      </c>
      <c r="E486" s="147" t="s">
        <v>72</v>
      </c>
      <c r="F486" s="96">
        <f>VLOOKUP(E486,CONFIGURAÇÃO!E:F,2,0)</f>
      </c>
      <c r="G486" s="147" t="s">
        <v>13</v>
      </c>
      <c r="H486" s="96">
        <f>IF(G486="CORTESIA",0,D486*F486)</f>
      </c>
      <c r="I486" s="147" t="s">
        <v>50</v>
      </c>
      <c r="J486" s="149" t="s">
        <v>184</v>
      </c>
      <c r="K486" s="147"/>
      <c r="L486" s="1"/>
      <c r="M486" s="1"/>
      <c r="N486" s="3"/>
    </row>
    <row x14ac:dyDescent="0.25" r="487" customHeight="1" ht="18.75" hidden="1">
      <c r="A487" s="65" t="s">
        <v>163</v>
      </c>
      <c r="B487" s="155" t="s">
        <v>330</v>
      </c>
      <c r="C487" s="160">
        <f>VLOOKUP(B487,CONFIGURAÇÃO!H:I,2,FALSE)</f>
      </c>
      <c r="D487" s="66">
        <v>1</v>
      </c>
      <c r="E487" s="147" t="s">
        <v>72</v>
      </c>
      <c r="F487" s="96">
        <f>VLOOKUP(E487,CONFIGURAÇÃO!E:F,2,0)</f>
      </c>
      <c r="G487" s="147" t="s">
        <v>13</v>
      </c>
      <c r="H487" s="96">
        <f>IF(G487="CORTESIA",0,D487*F487)</f>
      </c>
      <c r="I487" s="147" t="s">
        <v>50</v>
      </c>
      <c r="J487" s="149" t="s">
        <v>184</v>
      </c>
      <c r="K487" s="147"/>
      <c r="L487" s="1"/>
      <c r="M487" s="1"/>
      <c r="N487" s="3"/>
    </row>
    <row x14ac:dyDescent="0.25" r="488" customHeight="1" ht="18.75" hidden="1">
      <c r="A488" s="65" t="s">
        <v>180</v>
      </c>
      <c r="B488" s="155" t="s">
        <v>330</v>
      </c>
      <c r="C488" s="160">
        <f>VLOOKUP(B488,CONFIGURAÇÃO!H:I,2,FALSE)</f>
      </c>
      <c r="D488" s="66">
        <v>2</v>
      </c>
      <c r="E488" s="147" t="s">
        <v>78</v>
      </c>
      <c r="F488" s="96">
        <f>VLOOKUP(E488,CONFIGURAÇÃO!E:F,2,0)</f>
      </c>
      <c r="G488" s="147" t="s">
        <v>13</v>
      </c>
      <c r="H488" s="96">
        <f>IF(G488="CORTESIA",0,D488*F488)</f>
      </c>
      <c r="I488" s="147" t="s">
        <v>50</v>
      </c>
      <c r="J488" s="147"/>
      <c r="K488" s="147"/>
      <c r="L488" s="1"/>
      <c r="M488" s="1"/>
      <c r="N488" s="3"/>
    </row>
    <row x14ac:dyDescent="0.25" r="489" customHeight="1" ht="18.75" hidden="1">
      <c r="A489" s="65" t="s">
        <v>159</v>
      </c>
      <c r="B489" s="155" t="s">
        <v>331</v>
      </c>
      <c r="C489" s="160">
        <f>VLOOKUP(B489,CONFIGURAÇÃO!H:I,2,FALSE)</f>
      </c>
      <c r="D489" s="66">
        <v>1</v>
      </c>
      <c r="E489" s="147" t="s">
        <v>72</v>
      </c>
      <c r="F489" s="96">
        <f>VLOOKUP(E489,CONFIGURAÇÃO!E:F,2,0)</f>
      </c>
      <c r="G489" s="147" t="s">
        <v>13</v>
      </c>
      <c r="H489" s="96">
        <f>IF(G489="CORTESIA",0,D489*F489)</f>
      </c>
      <c r="I489" s="147" t="s">
        <v>22</v>
      </c>
      <c r="J489" s="149" t="s">
        <v>184</v>
      </c>
      <c r="K489" s="147"/>
      <c r="L489" s="1"/>
      <c r="M489" s="1"/>
      <c r="N489" s="3"/>
    </row>
    <row x14ac:dyDescent="0.25" r="490" customHeight="1" ht="18.75" hidden="1">
      <c r="A490" s="65" t="s">
        <v>159</v>
      </c>
      <c r="B490" s="155" t="s">
        <v>137</v>
      </c>
      <c r="C490" s="160">
        <f>VLOOKUP(B490,CONFIGURAÇÃO!H:I,2,FALSE)</f>
      </c>
      <c r="D490" s="66">
        <v>1</v>
      </c>
      <c r="E490" s="147" t="s">
        <v>72</v>
      </c>
      <c r="F490" s="96">
        <f>VLOOKUP(E490,CONFIGURAÇÃO!E:F,2,0)</f>
      </c>
      <c r="G490" s="147" t="s">
        <v>13</v>
      </c>
      <c r="H490" s="96">
        <f>IF(G490="CORTESIA",0,D490*F490)</f>
      </c>
      <c r="I490" s="147" t="s">
        <v>22</v>
      </c>
      <c r="J490" s="149" t="s">
        <v>184</v>
      </c>
      <c r="K490" s="147"/>
      <c r="L490" s="1"/>
      <c r="M490" s="1"/>
      <c r="N490" s="3"/>
    </row>
    <row x14ac:dyDescent="0.25" r="491" customHeight="1" ht="18.75" hidden="1">
      <c r="A491" s="65" t="s">
        <v>205</v>
      </c>
      <c r="B491" s="155" t="s">
        <v>137</v>
      </c>
      <c r="C491" s="160">
        <f>VLOOKUP(B491,CONFIGURAÇÃO!H:I,2,FALSE)</f>
      </c>
      <c r="D491" s="66">
        <v>1</v>
      </c>
      <c r="E491" s="147" t="s">
        <v>72</v>
      </c>
      <c r="F491" s="96">
        <f>VLOOKUP(E491,CONFIGURAÇÃO!E:F,2,0)</f>
      </c>
      <c r="G491" s="147" t="s">
        <v>13</v>
      </c>
      <c r="H491" s="96">
        <f>IF(G491="CORTESIA",0,D491*F491)</f>
      </c>
      <c r="I491" s="147" t="s">
        <v>22</v>
      </c>
      <c r="J491" s="149" t="s">
        <v>184</v>
      </c>
      <c r="K491" s="147"/>
      <c r="L491" s="1"/>
      <c r="M491" s="1"/>
      <c r="N491" s="3"/>
    </row>
    <row x14ac:dyDescent="0.25" r="492" customHeight="1" ht="18.75" hidden="1">
      <c r="A492" s="65" t="s">
        <v>177</v>
      </c>
      <c r="B492" s="155" t="s">
        <v>332</v>
      </c>
      <c r="C492" s="160">
        <f>VLOOKUP(B492,CONFIGURAÇÃO!H:I,2,FALSE)</f>
      </c>
      <c r="D492" s="66">
        <v>1</v>
      </c>
      <c r="E492" s="147" t="s">
        <v>183</v>
      </c>
      <c r="F492" s="96">
        <f>VLOOKUP(E492,CONFIGURAÇÃO!E:F,2,0)</f>
      </c>
      <c r="G492" s="147" t="s">
        <v>13</v>
      </c>
      <c r="H492" s="96">
        <f>IF(G492="CORTESIA",0,D492*F492)</f>
      </c>
      <c r="I492" s="147" t="s">
        <v>22</v>
      </c>
      <c r="J492" s="149" t="s">
        <v>184</v>
      </c>
      <c r="K492" s="147"/>
      <c r="L492" s="1"/>
      <c r="M492" s="1"/>
      <c r="N492" s="3"/>
    </row>
    <row x14ac:dyDescent="0.25" r="493" customHeight="1" ht="18.75" hidden="1">
      <c r="A493" s="65" t="s">
        <v>188</v>
      </c>
      <c r="B493" s="155" t="s">
        <v>332</v>
      </c>
      <c r="C493" s="160">
        <f>VLOOKUP(B493,CONFIGURAÇÃO!H:I,2,FALSE)</f>
      </c>
      <c r="D493" s="66">
        <v>1</v>
      </c>
      <c r="E493" s="147" t="s">
        <v>72</v>
      </c>
      <c r="F493" s="96">
        <f>VLOOKUP(E493,CONFIGURAÇÃO!E:F,2,0)</f>
      </c>
      <c r="G493" s="147" t="s">
        <v>13</v>
      </c>
      <c r="H493" s="96">
        <f>IF(G493="CORTESIA",0,D493*F493)</f>
      </c>
      <c r="I493" s="147" t="s">
        <v>22</v>
      </c>
      <c r="J493" s="149" t="s">
        <v>184</v>
      </c>
      <c r="K493" s="147"/>
      <c r="L493" s="1"/>
      <c r="M493" s="1"/>
      <c r="N493" s="3"/>
    </row>
    <row x14ac:dyDescent="0.25" r="494" customHeight="1" ht="18.75" hidden="1">
      <c r="A494" s="65" t="s">
        <v>172</v>
      </c>
      <c r="B494" s="155" t="s">
        <v>332</v>
      </c>
      <c r="C494" s="160">
        <f>VLOOKUP(B494,CONFIGURAÇÃO!H:I,2,FALSE)</f>
      </c>
      <c r="D494" s="66">
        <v>1</v>
      </c>
      <c r="E494" s="147" t="s">
        <v>183</v>
      </c>
      <c r="F494" s="96">
        <f>VLOOKUP(E494,CONFIGURAÇÃO!E:F,2,0)</f>
      </c>
      <c r="G494" s="147" t="s">
        <v>13</v>
      </c>
      <c r="H494" s="96">
        <f>IF(G494="CORTESIA",0,D494*F494)</f>
      </c>
      <c r="I494" s="147" t="s">
        <v>22</v>
      </c>
      <c r="J494" s="149" t="s">
        <v>184</v>
      </c>
      <c r="K494" s="147"/>
      <c r="L494" s="1"/>
      <c r="M494" s="1"/>
      <c r="N494" s="3"/>
    </row>
    <row x14ac:dyDescent="0.25" r="495" customHeight="1" ht="18.75" hidden="1">
      <c r="A495" s="65" t="s">
        <v>172</v>
      </c>
      <c r="B495" s="155" t="s">
        <v>332</v>
      </c>
      <c r="C495" s="160">
        <f>VLOOKUP(B495,CONFIGURAÇÃO!H:I,2,FALSE)</f>
      </c>
      <c r="D495" s="66">
        <v>1</v>
      </c>
      <c r="E495" s="147" t="s">
        <v>78</v>
      </c>
      <c r="F495" s="96">
        <f>VLOOKUP(E495,CONFIGURAÇÃO!E:F,2,0)</f>
      </c>
      <c r="G495" s="147" t="s">
        <v>13</v>
      </c>
      <c r="H495" s="96">
        <f>IF(G495="CORTESIA",0,D495*F495)</f>
      </c>
      <c r="I495" s="147" t="s">
        <v>22</v>
      </c>
      <c r="J495" s="149" t="s">
        <v>184</v>
      </c>
      <c r="K495" s="147"/>
      <c r="L495" s="1"/>
      <c r="M495" s="1"/>
      <c r="N495" s="3"/>
    </row>
    <row x14ac:dyDescent="0.25" r="496" customHeight="1" ht="18.75" hidden="1">
      <c r="A496" s="65" t="s">
        <v>205</v>
      </c>
      <c r="B496" s="155" t="s">
        <v>332</v>
      </c>
      <c r="C496" s="160">
        <f>VLOOKUP(B496,CONFIGURAÇÃO!H:I,2,FALSE)</f>
      </c>
      <c r="D496" s="66">
        <v>1</v>
      </c>
      <c r="E496" s="147" t="s">
        <v>78</v>
      </c>
      <c r="F496" s="96">
        <f>VLOOKUP(E496,CONFIGURAÇÃO!E:F,2,0)</f>
      </c>
      <c r="G496" s="147" t="s">
        <v>13</v>
      </c>
      <c r="H496" s="96">
        <f>IF(G496="CORTESIA",0,D496*F496)</f>
      </c>
      <c r="I496" s="147" t="s">
        <v>22</v>
      </c>
      <c r="J496" s="149" t="s">
        <v>184</v>
      </c>
      <c r="K496" s="147"/>
      <c r="L496" s="1"/>
      <c r="M496" s="1"/>
      <c r="N496" s="3"/>
    </row>
    <row x14ac:dyDescent="0.25" r="497" customHeight="1" ht="18.75" hidden="1">
      <c r="A497" s="67" t="s">
        <v>163</v>
      </c>
      <c r="B497" s="154" t="s">
        <v>332</v>
      </c>
      <c r="C497" s="160">
        <f>VLOOKUP(B497,CONFIGURAÇÃO!H:I,2,FALSE)</f>
      </c>
      <c r="D497" s="148">
        <v>1</v>
      </c>
      <c r="E497" s="149" t="s">
        <v>183</v>
      </c>
      <c r="F497" s="96">
        <f>VLOOKUP(E497,CONFIGURAÇÃO!E:F,2,0)</f>
      </c>
      <c r="G497" s="147" t="s">
        <v>13</v>
      </c>
      <c r="H497" s="96">
        <f>IF(G497="CORTESIA",0,D497*F497)</f>
      </c>
      <c r="I497" s="147" t="s">
        <v>22</v>
      </c>
      <c r="J497" s="149" t="s">
        <v>184</v>
      </c>
      <c r="K497" s="147"/>
      <c r="L497" s="1"/>
      <c r="M497" s="1"/>
      <c r="N497" s="3"/>
    </row>
    <row x14ac:dyDescent="0.25" r="498" customHeight="1" ht="18.75" hidden="1">
      <c r="A498" s="67" t="s">
        <v>163</v>
      </c>
      <c r="B498" s="154" t="s">
        <v>332</v>
      </c>
      <c r="C498" s="160">
        <f>VLOOKUP(B498,CONFIGURAÇÃO!H:I,2,FALSE)</f>
      </c>
      <c r="D498" s="148">
        <v>1</v>
      </c>
      <c r="E498" s="149" t="s">
        <v>78</v>
      </c>
      <c r="F498" s="96">
        <f>VLOOKUP(E498,CONFIGURAÇÃO!E:F,2,0)</f>
      </c>
      <c r="G498" s="147" t="s">
        <v>13</v>
      </c>
      <c r="H498" s="96">
        <f>IF(G498="CORTESIA",0,D498*F498)</f>
      </c>
      <c r="I498" s="147" t="s">
        <v>22</v>
      </c>
      <c r="J498" s="149" t="s">
        <v>184</v>
      </c>
      <c r="K498" s="147"/>
      <c r="L498" s="1"/>
      <c r="M498" s="1"/>
      <c r="N498" s="3"/>
    </row>
    <row x14ac:dyDescent="0.25" r="499" customHeight="1" ht="18.75" hidden="1">
      <c r="A499" s="67">
        <v>45748</v>
      </c>
      <c r="B499" s="154" t="s">
        <v>83</v>
      </c>
      <c r="C499" s="160">
        <f>VLOOKUP(B499,CONFIGURAÇÃO!H:I,2,FALSE)</f>
      </c>
      <c r="D499" s="148">
        <v>3</v>
      </c>
      <c r="E499" s="149" t="s">
        <v>72</v>
      </c>
      <c r="F499" s="96">
        <f>VLOOKUP(E499,CONFIGURAÇÃO!E:F,2,0)</f>
      </c>
      <c r="G499" s="147" t="s">
        <v>13</v>
      </c>
      <c r="H499" s="96">
        <f>IF(G499="CORTESIA",0,D499*F499)</f>
      </c>
      <c r="I499" s="147" t="s">
        <v>22</v>
      </c>
      <c r="J499" s="149" t="s">
        <v>184</v>
      </c>
      <c r="K499" s="147"/>
      <c r="L499" s="1"/>
      <c r="M499" s="1"/>
      <c r="N499" s="3"/>
    </row>
    <row x14ac:dyDescent="0.25" r="500" customHeight="1" ht="18.75" hidden="1">
      <c r="A500" s="67">
        <v>45750</v>
      </c>
      <c r="B500" s="154" t="s">
        <v>83</v>
      </c>
      <c r="C500" s="160">
        <f>VLOOKUP(B500,CONFIGURAÇÃO!H:I,2,FALSE)</f>
      </c>
      <c r="D500" s="148">
        <v>2</v>
      </c>
      <c r="E500" s="149" t="s">
        <v>78</v>
      </c>
      <c r="F500" s="96">
        <f>VLOOKUP(E500,CONFIGURAÇÃO!E:F,2,0)</f>
      </c>
      <c r="G500" s="147" t="s">
        <v>13</v>
      </c>
      <c r="H500" s="96">
        <f>IF(G500="CORTESIA",0,D500*F500)</f>
      </c>
      <c r="I500" s="147" t="s">
        <v>22</v>
      </c>
      <c r="J500" s="149" t="s">
        <v>184</v>
      </c>
      <c r="K500" s="147"/>
      <c r="L500" s="1"/>
      <c r="M500" s="1"/>
      <c r="N500" s="3"/>
    </row>
    <row x14ac:dyDescent="0.25" r="501" customHeight="1" ht="18.75" hidden="1">
      <c r="A501" s="67">
        <v>45750</v>
      </c>
      <c r="B501" s="154" t="s">
        <v>83</v>
      </c>
      <c r="C501" s="160">
        <f>VLOOKUP(B501,CONFIGURAÇÃO!H:I,2,FALSE)</f>
      </c>
      <c r="D501" s="148">
        <v>1</v>
      </c>
      <c r="E501" s="149" t="s">
        <v>78</v>
      </c>
      <c r="F501" s="96">
        <f>VLOOKUP(E501,CONFIGURAÇÃO!E:F,2,0)</f>
      </c>
      <c r="G501" s="147" t="s">
        <v>52</v>
      </c>
      <c r="H501" s="96">
        <f>IF(G501="CORTESIA",0,D501*F501)</f>
      </c>
      <c r="I501" s="147" t="s">
        <v>22</v>
      </c>
      <c r="J501" s="149" t="s">
        <v>184</v>
      </c>
      <c r="K501" s="147"/>
      <c r="L501" s="1"/>
      <c r="M501" s="1"/>
      <c r="N501" s="3"/>
    </row>
    <row x14ac:dyDescent="0.25" r="502" customHeight="1" ht="18.75" hidden="1">
      <c r="A502" s="65" t="s">
        <v>188</v>
      </c>
      <c r="B502" s="155" t="s">
        <v>83</v>
      </c>
      <c r="C502" s="160">
        <f>VLOOKUP(B502,CONFIGURAÇÃO!H:I,2,FALSE)</f>
      </c>
      <c r="D502" s="66">
        <v>1</v>
      </c>
      <c r="E502" s="147" t="s">
        <v>78</v>
      </c>
      <c r="F502" s="96">
        <f>VLOOKUP(E502,CONFIGURAÇÃO!E:F,2,0)</f>
      </c>
      <c r="G502" s="147" t="s">
        <v>13</v>
      </c>
      <c r="H502" s="96">
        <f>IF(G502="CORTESIA",0,D502*F502)</f>
      </c>
      <c r="I502" s="147" t="s">
        <v>22</v>
      </c>
      <c r="J502" s="149" t="s">
        <v>184</v>
      </c>
      <c r="K502" s="147"/>
      <c r="L502" s="1"/>
      <c r="M502" s="1"/>
      <c r="N502" s="3"/>
    </row>
    <row x14ac:dyDescent="0.25" r="503" customHeight="1" ht="18.75" hidden="1">
      <c r="A503" s="65" t="s">
        <v>188</v>
      </c>
      <c r="B503" s="155" t="s">
        <v>83</v>
      </c>
      <c r="C503" s="160">
        <f>VLOOKUP(B503,CONFIGURAÇÃO!H:I,2,FALSE)</f>
      </c>
      <c r="D503" s="66">
        <v>1</v>
      </c>
      <c r="E503" s="147" t="s">
        <v>72</v>
      </c>
      <c r="F503" s="96">
        <f>VLOOKUP(E503,CONFIGURAÇÃO!E:F,2,0)</f>
      </c>
      <c r="G503" s="147" t="s">
        <v>13</v>
      </c>
      <c r="H503" s="96">
        <f>IF(G503="CORTESIA",0,D503*F503)</f>
      </c>
      <c r="I503" s="147" t="s">
        <v>22</v>
      </c>
      <c r="J503" s="149" t="s">
        <v>184</v>
      </c>
      <c r="K503" s="147"/>
      <c r="L503" s="1"/>
      <c r="M503" s="1"/>
      <c r="N503" s="3"/>
    </row>
    <row x14ac:dyDescent="0.25" r="504" customHeight="1" ht="18.75" hidden="1">
      <c r="A504" s="65" t="s">
        <v>172</v>
      </c>
      <c r="B504" s="155" t="s">
        <v>83</v>
      </c>
      <c r="C504" s="160">
        <f>VLOOKUP(B504,CONFIGURAÇÃO!H:I,2,FALSE)</f>
      </c>
      <c r="D504" s="66">
        <v>2</v>
      </c>
      <c r="E504" s="147" t="s">
        <v>78</v>
      </c>
      <c r="F504" s="96">
        <f>VLOOKUP(E504,CONFIGURAÇÃO!E:F,2,0)</f>
      </c>
      <c r="G504" s="147" t="s">
        <v>13</v>
      </c>
      <c r="H504" s="96">
        <f>IF(G504="CORTESIA",0,D504*F504)</f>
      </c>
      <c r="I504" s="147" t="s">
        <v>22</v>
      </c>
      <c r="J504" s="149" t="s">
        <v>184</v>
      </c>
      <c r="K504" s="147"/>
      <c r="L504" s="1"/>
      <c r="M504" s="1"/>
      <c r="N504" s="3"/>
    </row>
    <row x14ac:dyDescent="0.25" r="505" customHeight="1" ht="18.75" hidden="1">
      <c r="A505" s="65" t="s">
        <v>159</v>
      </c>
      <c r="B505" s="155" t="s">
        <v>83</v>
      </c>
      <c r="C505" s="160">
        <f>VLOOKUP(B505,CONFIGURAÇÃO!H:I,2,FALSE)</f>
      </c>
      <c r="D505" s="66">
        <v>1</v>
      </c>
      <c r="E505" s="147" t="s">
        <v>78</v>
      </c>
      <c r="F505" s="96">
        <f>VLOOKUP(E505,CONFIGURAÇÃO!E:F,2,0)</f>
      </c>
      <c r="G505" s="147" t="s">
        <v>13</v>
      </c>
      <c r="H505" s="96">
        <f>IF(G505="CORTESIA",0,D505*F505)</f>
      </c>
      <c r="I505" s="147" t="s">
        <v>22</v>
      </c>
      <c r="J505" s="149" t="s">
        <v>184</v>
      </c>
      <c r="K505" s="147"/>
      <c r="L505" s="1"/>
      <c r="M505" s="1"/>
      <c r="N505" s="3"/>
    </row>
    <row x14ac:dyDescent="0.25" r="506" customHeight="1" ht="18.75" hidden="1">
      <c r="A506" s="65" t="s">
        <v>159</v>
      </c>
      <c r="B506" s="155" t="s">
        <v>83</v>
      </c>
      <c r="C506" s="160">
        <f>VLOOKUP(B506,CONFIGURAÇÃO!H:I,2,FALSE)</f>
      </c>
      <c r="D506" s="66">
        <v>1</v>
      </c>
      <c r="E506" s="147" t="s">
        <v>72</v>
      </c>
      <c r="F506" s="96">
        <f>VLOOKUP(E506,CONFIGURAÇÃO!E:F,2,0)</f>
      </c>
      <c r="G506" s="147" t="s">
        <v>13</v>
      </c>
      <c r="H506" s="96">
        <f>IF(G506="CORTESIA",0,D506*F506)</f>
      </c>
      <c r="I506" s="147" t="s">
        <v>22</v>
      </c>
      <c r="J506" s="149" t="s">
        <v>184</v>
      </c>
      <c r="K506" s="147"/>
      <c r="L506" s="1"/>
      <c r="M506" s="1"/>
      <c r="N506" s="3"/>
    </row>
    <row x14ac:dyDescent="0.25" r="507" customHeight="1" ht="18.75" hidden="1">
      <c r="A507" s="65" t="s">
        <v>160</v>
      </c>
      <c r="B507" s="155" t="s">
        <v>83</v>
      </c>
      <c r="C507" s="160">
        <f>VLOOKUP(B507,CONFIGURAÇÃO!H:I,2,FALSE)</f>
      </c>
      <c r="D507" s="66">
        <v>2</v>
      </c>
      <c r="E507" s="147" t="s">
        <v>78</v>
      </c>
      <c r="F507" s="96">
        <f>VLOOKUP(E507,CONFIGURAÇÃO!E:F,2,0)</f>
      </c>
      <c r="G507" s="147" t="s">
        <v>13</v>
      </c>
      <c r="H507" s="96">
        <f>IF(G507="CORTESIA",0,D507*F507)</f>
      </c>
      <c r="I507" s="147" t="s">
        <v>22</v>
      </c>
      <c r="J507" s="149" t="s">
        <v>184</v>
      </c>
      <c r="K507" s="147"/>
      <c r="L507" s="1"/>
      <c r="M507" s="1"/>
      <c r="N507" s="3"/>
    </row>
    <row x14ac:dyDescent="0.25" r="508" customHeight="1" ht="18.75" hidden="1">
      <c r="A508" s="65" t="s">
        <v>205</v>
      </c>
      <c r="B508" s="155" t="s">
        <v>83</v>
      </c>
      <c r="C508" s="160">
        <f>VLOOKUP(B508,CONFIGURAÇÃO!H:I,2,FALSE)</f>
      </c>
      <c r="D508" s="66">
        <v>1</v>
      </c>
      <c r="E508" s="147" t="s">
        <v>78</v>
      </c>
      <c r="F508" s="96">
        <f>VLOOKUP(E508,CONFIGURAÇÃO!E:F,2,0)</f>
      </c>
      <c r="G508" s="147" t="s">
        <v>13</v>
      </c>
      <c r="H508" s="96">
        <f>IF(G508="CORTESIA",0,D508*F508)</f>
      </c>
      <c r="I508" s="147" t="s">
        <v>22</v>
      </c>
      <c r="J508" s="149" t="s">
        <v>184</v>
      </c>
      <c r="K508" s="147"/>
      <c r="L508" s="1"/>
      <c r="M508" s="1"/>
      <c r="N508" s="3"/>
    </row>
    <row x14ac:dyDescent="0.25" r="509" customHeight="1" ht="18.75" hidden="1">
      <c r="A509" s="65" t="s">
        <v>205</v>
      </c>
      <c r="B509" s="155" t="s">
        <v>83</v>
      </c>
      <c r="C509" s="160">
        <f>VLOOKUP(B509,CONFIGURAÇÃO!H:I,2,FALSE)</f>
      </c>
      <c r="D509" s="66">
        <v>1</v>
      </c>
      <c r="E509" s="147" t="s">
        <v>72</v>
      </c>
      <c r="F509" s="96">
        <f>VLOOKUP(E509,CONFIGURAÇÃO!E:F,2,0)</f>
      </c>
      <c r="G509" s="147" t="s">
        <v>13</v>
      </c>
      <c r="H509" s="96">
        <f>IF(G509="CORTESIA",0,D509*F509)</f>
      </c>
      <c r="I509" s="147" t="s">
        <v>22</v>
      </c>
      <c r="J509" s="149" t="s">
        <v>184</v>
      </c>
      <c r="K509" s="147"/>
      <c r="L509" s="1"/>
      <c r="M509" s="1"/>
      <c r="N509" s="3"/>
    </row>
    <row x14ac:dyDescent="0.25" r="510" customHeight="1" ht="18.75" hidden="1">
      <c r="A510" s="65" t="s">
        <v>205</v>
      </c>
      <c r="B510" s="155" t="s">
        <v>83</v>
      </c>
      <c r="C510" s="160">
        <f>VLOOKUP(B510,CONFIGURAÇÃO!H:I,2,FALSE)</f>
      </c>
      <c r="D510" s="66">
        <v>1</v>
      </c>
      <c r="E510" s="147" t="s">
        <v>183</v>
      </c>
      <c r="F510" s="96">
        <f>VLOOKUP(E510,CONFIGURAÇÃO!E:F,2,0)</f>
      </c>
      <c r="G510" s="147" t="s">
        <v>13</v>
      </c>
      <c r="H510" s="96">
        <f>IF(G510="CORTESIA",0,D510*F510)</f>
      </c>
      <c r="I510" s="147" t="s">
        <v>22</v>
      </c>
      <c r="J510" s="149" t="s">
        <v>184</v>
      </c>
      <c r="K510" s="147"/>
      <c r="L510" s="1"/>
      <c r="M510" s="1"/>
      <c r="N510" s="3"/>
    </row>
    <row x14ac:dyDescent="0.25" r="511" customHeight="1" ht="18.75" hidden="1">
      <c r="A511" s="67" t="s">
        <v>162</v>
      </c>
      <c r="B511" s="154" t="s">
        <v>83</v>
      </c>
      <c r="C511" s="160">
        <f>VLOOKUP(B511,CONFIGURAÇÃO!H:I,2,FALSE)</f>
      </c>
      <c r="D511" s="148">
        <v>1</v>
      </c>
      <c r="E511" s="149" t="s">
        <v>78</v>
      </c>
      <c r="F511" s="96">
        <f>VLOOKUP(E511,CONFIGURAÇÃO!E:F,2,0)</f>
      </c>
      <c r="G511" s="147" t="s">
        <v>13</v>
      </c>
      <c r="H511" s="96">
        <f>IF(G511="CORTESIA",0,D511*F511)</f>
      </c>
      <c r="I511" s="147" t="s">
        <v>22</v>
      </c>
      <c r="J511" s="149" t="s">
        <v>184</v>
      </c>
      <c r="K511" s="147"/>
      <c r="L511" s="1"/>
      <c r="M511" s="1"/>
      <c r="N511" s="3"/>
    </row>
    <row x14ac:dyDescent="0.25" r="512" customHeight="1" ht="18.75" hidden="1">
      <c r="A512" s="67" t="s">
        <v>162</v>
      </c>
      <c r="B512" s="154" t="s">
        <v>83</v>
      </c>
      <c r="C512" s="160">
        <f>VLOOKUP(B512,CONFIGURAÇÃO!H:I,2,FALSE)</f>
      </c>
      <c r="D512" s="148">
        <v>1</v>
      </c>
      <c r="E512" s="149" t="s">
        <v>72</v>
      </c>
      <c r="F512" s="96">
        <f>VLOOKUP(E512,CONFIGURAÇÃO!E:F,2,0)</f>
      </c>
      <c r="G512" s="147" t="s">
        <v>13</v>
      </c>
      <c r="H512" s="96">
        <f>IF(G512="CORTESIA",0,D512*F512)</f>
      </c>
      <c r="I512" s="147" t="s">
        <v>22</v>
      </c>
      <c r="J512" s="149" t="s">
        <v>184</v>
      </c>
      <c r="K512" s="147"/>
      <c r="L512" s="1"/>
      <c r="M512" s="1"/>
      <c r="N512" s="3"/>
    </row>
    <row x14ac:dyDescent="0.25" r="513" customHeight="1" ht="18.75" hidden="1">
      <c r="A513" s="67" t="s">
        <v>163</v>
      </c>
      <c r="B513" s="154" t="s">
        <v>83</v>
      </c>
      <c r="C513" s="160">
        <f>VLOOKUP(B513,CONFIGURAÇÃO!H:I,2,FALSE)</f>
      </c>
      <c r="D513" s="148">
        <v>1</v>
      </c>
      <c r="E513" s="149" t="s">
        <v>183</v>
      </c>
      <c r="F513" s="96">
        <f>VLOOKUP(E513,CONFIGURAÇÃO!E:F,2,0)</f>
      </c>
      <c r="G513" s="147" t="s">
        <v>13</v>
      </c>
      <c r="H513" s="96">
        <f>IF(G513="CORTESIA",0,D513*F513)</f>
      </c>
      <c r="I513" s="147" t="s">
        <v>22</v>
      </c>
      <c r="J513" s="149" t="s">
        <v>184</v>
      </c>
      <c r="K513" s="147"/>
      <c r="L513" s="1"/>
      <c r="M513" s="1"/>
      <c r="N513" s="3"/>
    </row>
    <row x14ac:dyDescent="0.25" r="514" customHeight="1" ht="18.75" hidden="1">
      <c r="A514" s="67" t="s">
        <v>164</v>
      </c>
      <c r="B514" s="154" t="s">
        <v>83</v>
      </c>
      <c r="C514" s="160">
        <f>VLOOKUP(B514,CONFIGURAÇÃO!H:I,2,FALSE)</f>
      </c>
      <c r="D514" s="148">
        <v>1</v>
      </c>
      <c r="E514" s="149" t="s">
        <v>78</v>
      </c>
      <c r="F514" s="96">
        <f>VLOOKUP(E514,CONFIGURAÇÃO!E:F,2,0)</f>
      </c>
      <c r="G514" s="147" t="s">
        <v>13</v>
      </c>
      <c r="H514" s="96">
        <f>IF(G514="CORTESIA",0,D514*F514)</f>
      </c>
      <c r="I514" s="147" t="s">
        <v>22</v>
      </c>
      <c r="J514" s="149" t="s">
        <v>184</v>
      </c>
      <c r="K514" s="147"/>
      <c r="L514" s="1"/>
      <c r="M514" s="1"/>
      <c r="N514" s="3"/>
    </row>
    <row x14ac:dyDescent="0.25" r="515" customHeight="1" ht="18.75" hidden="1">
      <c r="A515" s="67" t="s">
        <v>164</v>
      </c>
      <c r="B515" s="154" t="s">
        <v>83</v>
      </c>
      <c r="C515" s="160">
        <f>VLOOKUP(B515,CONFIGURAÇÃO!H:I,2,FALSE)</f>
      </c>
      <c r="D515" s="148">
        <v>1</v>
      </c>
      <c r="E515" s="149" t="s">
        <v>333</v>
      </c>
      <c r="F515" s="96">
        <f>VLOOKUP(E515,CONFIGURAÇÃO!E:F,2,0)</f>
      </c>
      <c r="G515" s="147" t="s">
        <v>13</v>
      </c>
      <c r="H515" s="96">
        <f>IF(G515="CORTESIA",0,D515*F515)</f>
      </c>
      <c r="I515" s="147" t="s">
        <v>22</v>
      </c>
      <c r="J515" s="149" t="s">
        <v>184</v>
      </c>
      <c r="K515" s="147"/>
      <c r="L515" s="1"/>
      <c r="M515" s="1"/>
      <c r="N515" s="3"/>
    </row>
    <row x14ac:dyDescent="0.25" r="516" customHeight="1" ht="18.75" hidden="1">
      <c r="A516" s="65" t="s">
        <v>160</v>
      </c>
      <c r="B516" s="162" t="s">
        <v>334</v>
      </c>
      <c r="C516" s="160">
        <f>VLOOKUP(B516,CONFIGURAÇÃO!H:I,2,FALSE)</f>
      </c>
      <c r="D516" s="66">
        <v>1</v>
      </c>
      <c r="E516" s="147" t="s">
        <v>183</v>
      </c>
      <c r="F516" s="96">
        <f>VLOOKUP(E516,CONFIGURAÇÃO!E:F,2,0)</f>
      </c>
      <c r="G516" s="147" t="s">
        <v>13</v>
      </c>
      <c r="H516" s="96">
        <f>IF(G516="CORTESIA",0,D516*F516)</f>
      </c>
      <c r="I516" s="147" t="s">
        <v>19</v>
      </c>
      <c r="J516" s="149" t="s">
        <v>184</v>
      </c>
      <c r="K516" s="147" t="s">
        <v>335</v>
      </c>
      <c r="L516" s="1"/>
      <c r="M516" s="1"/>
      <c r="N516" s="3"/>
    </row>
    <row x14ac:dyDescent="0.25" r="517" customHeight="1" ht="18.75" hidden="1">
      <c r="A517" s="67">
        <v>45749</v>
      </c>
      <c r="B517" s="154" t="s">
        <v>82</v>
      </c>
      <c r="C517" s="160">
        <f>VLOOKUP(B517,CONFIGURAÇÃO!H:I,2,FALSE)</f>
      </c>
      <c r="D517" s="148">
        <v>1</v>
      </c>
      <c r="E517" s="149" t="s">
        <v>183</v>
      </c>
      <c r="F517" s="96">
        <f>VLOOKUP(E517,CONFIGURAÇÃO!E:F,2,0)</f>
      </c>
      <c r="G517" s="147" t="s">
        <v>13</v>
      </c>
      <c r="H517" s="96">
        <f>IF(G517="CORTESIA",0,D517*F517)</f>
      </c>
      <c r="I517" s="147" t="s">
        <v>22</v>
      </c>
      <c r="J517" s="149" t="s">
        <v>184</v>
      </c>
      <c r="K517" s="147"/>
      <c r="L517" s="1"/>
      <c r="M517" s="1"/>
      <c r="N517" s="3"/>
    </row>
    <row x14ac:dyDescent="0.25" r="518" customHeight="1" ht="18.75" hidden="1">
      <c r="A518" s="67">
        <v>45750</v>
      </c>
      <c r="B518" s="154" t="s">
        <v>82</v>
      </c>
      <c r="C518" s="160">
        <f>VLOOKUP(B518,CONFIGURAÇÃO!H:I,2,FALSE)</f>
      </c>
      <c r="D518" s="148">
        <v>1</v>
      </c>
      <c r="E518" s="149" t="s">
        <v>78</v>
      </c>
      <c r="F518" s="96">
        <f>VLOOKUP(E518,CONFIGURAÇÃO!E:F,2,0)</f>
      </c>
      <c r="G518" s="147" t="s">
        <v>13</v>
      </c>
      <c r="H518" s="96">
        <f>IF(G518="CORTESIA",0,D518*F518)</f>
      </c>
      <c r="I518" s="147" t="s">
        <v>22</v>
      </c>
      <c r="J518" s="149" t="s">
        <v>184</v>
      </c>
      <c r="K518" s="147"/>
      <c r="L518" s="1"/>
      <c r="M518" s="1"/>
      <c r="N518" s="3"/>
    </row>
    <row x14ac:dyDescent="0.25" r="519" customHeight="1" ht="18.75" hidden="1">
      <c r="A519" s="65" t="s">
        <v>172</v>
      </c>
      <c r="B519" s="155" t="s">
        <v>82</v>
      </c>
      <c r="C519" s="160">
        <f>VLOOKUP(B519,CONFIGURAÇÃO!H:I,2,FALSE)</f>
      </c>
      <c r="D519" s="66">
        <v>1</v>
      </c>
      <c r="E519" s="147" t="s">
        <v>183</v>
      </c>
      <c r="F519" s="96">
        <f>VLOOKUP(E519,CONFIGURAÇÃO!E:F,2,0)</f>
      </c>
      <c r="G519" s="147" t="s">
        <v>13</v>
      </c>
      <c r="H519" s="96">
        <f>IF(G519="CORTESIA",0,D519*F519)</f>
      </c>
      <c r="I519" s="147" t="s">
        <v>22</v>
      </c>
      <c r="J519" s="149" t="s">
        <v>184</v>
      </c>
      <c r="K519" s="147"/>
      <c r="L519" s="1"/>
      <c r="M519" s="1"/>
      <c r="N519" s="3"/>
    </row>
    <row x14ac:dyDescent="0.25" r="520" customHeight="1" ht="18.75" hidden="1">
      <c r="A520" s="65" t="s">
        <v>159</v>
      </c>
      <c r="B520" s="155" t="s">
        <v>82</v>
      </c>
      <c r="C520" s="160">
        <f>VLOOKUP(B520,CONFIGURAÇÃO!H:I,2,FALSE)</f>
      </c>
      <c r="D520" s="66">
        <v>2</v>
      </c>
      <c r="E520" s="147" t="s">
        <v>72</v>
      </c>
      <c r="F520" s="96">
        <f>VLOOKUP(E520,CONFIGURAÇÃO!E:F,2,0)</f>
      </c>
      <c r="G520" s="147" t="s">
        <v>13</v>
      </c>
      <c r="H520" s="96">
        <f>IF(G520="CORTESIA",0,D520*F520)</f>
      </c>
      <c r="I520" s="147" t="s">
        <v>22</v>
      </c>
      <c r="J520" s="149" t="s">
        <v>184</v>
      </c>
      <c r="K520" s="147"/>
      <c r="L520" s="1"/>
      <c r="M520" s="1"/>
      <c r="N520" s="3"/>
    </row>
    <row x14ac:dyDescent="0.25" r="521" customHeight="1" ht="18.75" hidden="1">
      <c r="A521" s="65" t="s">
        <v>160</v>
      </c>
      <c r="B521" s="155" t="s">
        <v>82</v>
      </c>
      <c r="C521" s="160">
        <f>VLOOKUP(B521,CONFIGURAÇÃO!H:I,2,FALSE)</f>
      </c>
      <c r="D521" s="66">
        <v>2</v>
      </c>
      <c r="E521" s="147" t="s">
        <v>183</v>
      </c>
      <c r="F521" s="96">
        <f>VLOOKUP(E521,CONFIGURAÇÃO!E:F,2,0)</f>
      </c>
      <c r="G521" s="147" t="s">
        <v>13</v>
      </c>
      <c r="H521" s="96">
        <f>IF(G521="CORTESIA",0,D521*F521)</f>
      </c>
      <c r="I521" s="147" t="s">
        <v>22</v>
      </c>
      <c r="J521" s="149" t="s">
        <v>184</v>
      </c>
      <c r="K521" s="147"/>
      <c r="L521" s="1"/>
      <c r="M521" s="1"/>
      <c r="N521" s="3"/>
    </row>
    <row x14ac:dyDescent="0.25" r="522" customHeight="1" ht="18.75" hidden="1">
      <c r="A522" s="65" t="s">
        <v>205</v>
      </c>
      <c r="B522" s="155" t="s">
        <v>82</v>
      </c>
      <c r="C522" s="160">
        <f>VLOOKUP(B522,CONFIGURAÇÃO!H:I,2,FALSE)</f>
      </c>
      <c r="D522" s="66">
        <v>1</v>
      </c>
      <c r="E522" s="147" t="s">
        <v>78</v>
      </c>
      <c r="F522" s="96">
        <f>VLOOKUP(E522,CONFIGURAÇÃO!E:F,2,0)</f>
      </c>
      <c r="G522" s="147" t="s">
        <v>13</v>
      </c>
      <c r="H522" s="96">
        <f>IF(G522="CORTESIA",0,D522*F522)</f>
      </c>
      <c r="I522" s="147" t="s">
        <v>22</v>
      </c>
      <c r="J522" s="149" t="s">
        <v>184</v>
      </c>
      <c r="K522" s="147"/>
      <c r="L522" s="1"/>
      <c r="M522" s="1"/>
      <c r="N522" s="3"/>
    </row>
    <row x14ac:dyDescent="0.25" r="523" customHeight="1" ht="18.75" hidden="1">
      <c r="A523" s="65" t="s">
        <v>205</v>
      </c>
      <c r="B523" s="155" t="s">
        <v>82</v>
      </c>
      <c r="C523" s="160">
        <f>VLOOKUP(B523,CONFIGURAÇÃO!H:I,2,FALSE)</f>
      </c>
      <c r="D523" s="66">
        <v>1</v>
      </c>
      <c r="E523" s="147" t="s">
        <v>72</v>
      </c>
      <c r="F523" s="96">
        <f>VLOOKUP(E523,CONFIGURAÇÃO!E:F,2,0)</f>
      </c>
      <c r="G523" s="147" t="s">
        <v>13</v>
      </c>
      <c r="H523" s="96">
        <f>IF(G523="CORTESIA",0,D523*F523)</f>
      </c>
      <c r="I523" s="147" t="s">
        <v>22</v>
      </c>
      <c r="J523" s="149" t="s">
        <v>184</v>
      </c>
      <c r="K523" s="147"/>
      <c r="L523" s="1"/>
      <c r="M523" s="1"/>
      <c r="N523" s="3"/>
    </row>
    <row x14ac:dyDescent="0.25" r="524" customHeight="1" ht="18.75" hidden="1">
      <c r="A524" s="67" t="s">
        <v>161</v>
      </c>
      <c r="B524" s="154" t="s">
        <v>82</v>
      </c>
      <c r="C524" s="160">
        <f>VLOOKUP(B524,CONFIGURAÇÃO!H:I,2,FALSE)</f>
      </c>
      <c r="D524" s="148">
        <v>1</v>
      </c>
      <c r="E524" s="149" t="s">
        <v>183</v>
      </c>
      <c r="F524" s="96">
        <f>VLOOKUP(E524,CONFIGURAÇÃO!E:F,2,0)</f>
      </c>
      <c r="G524" s="147" t="s">
        <v>13</v>
      </c>
      <c r="H524" s="96">
        <f>IF(G524="CORTESIA",0,D524*F524)</f>
      </c>
      <c r="I524" s="147" t="s">
        <v>22</v>
      </c>
      <c r="J524" s="149" t="s">
        <v>184</v>
      </c>
      <c r="K524" s="147"/>
      <c r="L524" s="1"/>
      <c r="M524" s="1"/>
      <c r="N524" s="3"/>
    </row>
    <row x14ac:dyDescent="0.25" r="525" customHeight="1" ht="18.75" hidden="1">
      <c r="A525" s="67" t="s">
        <v>162</v>
      </c>
      <c r="B525" s="154" t="s">
        <v>82</v>
      </c>
      <c r="C525" s="160">
        <f>VLOOKUP(B525,CONFIGURAÇÃO!H:I,2,FALSE)</f>
      </c>
      <c r="D525" s="148">
        <v>2</v>
      </c>
      <c r="E525" s="149" t="s">
        <v>72</v>
      </c>
      <c r="F525" s="96">
        <f>VLOOKUP(E525,CONFIGURAÇÃO!E:F,2,0)</f>
      </c>
      <c r="G525" s="147" t="s">
        <v>13</v>
      </c>
      <c r="H525" s="96">
        <f>IF(G525="CORTESIA",0,D525*F525)</f>
      </c>
      <c r="I525" s="147" t="s">
        <v>22</v>
      </c>
      <c r="J525" s="149" t="s">
        <v>184</v>
      </c>
      <c r="K525" s="147"/>
      <c r="L525" s="1"/>
      <c r="M525" s="1"/>
      <c r="N525" s="3"/>
    </row>
    <row x14ac:dyDescent="0.25" r="526" customHeight="1" ht="18.75" hidden="1">
      <c r="A526" s="67" t="s">
        <v>162</v>
      </c>
      <c r="B526" s="154" t="s">
        <v>82</v>
      </c>
      <c r="C526" s="160">
        <f>VLOOKUP(B526,CONFIGURAÇÃO!H:I,2,FALSE)</f>
      </c>
      <c r="D526" s="148">
        <v>1</v>
      </c>
      <c r="E526" s="149" t="s">
        <v>78</v>
      </c>
      <c r="F526" s="96">
        <f>VLOOKUP(E526,CONFIGURAÇÃO!E:F,2,0)</f>
      </c>
      <c r="G526" s="147" t="s">
        <v>13</v>
      </c>
      <c r="H526" s="96">
        <f>IF(G526="CORTESIA",0,D526*F526)</f>
      </c>
      <c r="I526" s="147" t="s">
        <v>22</v>
      </c>
      <c r="J526" s="149" t="s">
        <v>184</v>
      </c>
      <c r="K526" s="147"/>
      <c r="L526" s="1"/>
      <c r="M526" s="1"/>
      <c r="N526" s="3"/>
    </row>
    <row x14ac:dyDescent="0.25" r="527" customHeight="1" ht="18.75" hidden="1">
      <c r="A527" s="67" t="s">
        <v>163</v>
      </c>
      <c r="B527" s="154" t="s">
        <v>82</v>
      </c>
      <c r="C527" s="160">
        <f>VLOOKUP(B527,CONFIGURAÇÃO!H:I,2,FALSE)</f>
      </c>
      <c r="D527" s="148">
        <v>1</v>
      </c>
      <c r="E527" s="149" t="s">
        <v>78</v>
      </c>
      <c r="F527" s="96">
        <f>VLOOKUP(E527,CONFIGURAÇÃO!E:F,2,0)</f>
      </c>
      <c r="G527" s="147" t="s">
        <v>13</v>
      </c>
      <c r="H527" s="96">
        <f>IF(G527="CORTESIA",0,D527*F527)</f>
      </c>
      <c r="I527" s="147" t="s">
        <v>22</v>
      </c>
      <c r="J527" s="149" t="s">
        <v>184</v>
      </c>
      <c r="K527" s="147"/>
      <c r="L527" s="1"/>
      <c r="M527" s="1"/>
      <c r="N527" s="3"/>
    </row>
    <row x14ac:dyDescent="0.25" r="528" customHeight="1" ht="18.75" hidden="1">
      <c r="A528" s="67" t="s">
        <v>163</v>
      </c>
      <c r="B528" s="154" t="s">
        <v>82</v>
      </c>
      <c r="C528" s="160">
        <f>VLOOKUP(B528,CONFIGURAÇÃO!H:I,2,FALSE)</f>
      </c>
      <c r="D528" s="148">
        <v>1</v>
      </c>
      <c r="E528" s="149" t="s">
        <v>183</v>
      </c>
      <c r="F528" s="96">
        <f>VLOOKUP(E528,CONFIGURAÇÃO!E:F,2,0)</f>
      </c>
      <c r="G528" s="147" t="s">
        <v>13</v>
      </c>
      <c r="H528" s="96">
        <f>IF(G528="CORTESIA",0,D528*F528)</f>
      </c>
      <c r="I528" s="147" t="s">
        <v>22</v>
      </c>
      <c r="J528" s="149" t="s">
        <v>184</v>
      </c>
      <c r="K528" s="147"/>
      <c r="L528" s="1"/>
      <c r="M528" s="1"/>
      <c r="N528" s="3"/>
    </row>
    <row x14ac:dyDescent="0.25" r="529" customHeight="1" ht="18.75" hidden="1">
      <c r="A529" s="67" t="s">
        <v>164</v>
      </c>
      <c r="B529" s="154" t="s">
        <v>82</v>
      </c>
      <c r="C529" s="160">
        <f>VLOOKUP(B529,CONFIGURAÇÃO!H:I,2,FALSE)</f>
      </c>
      <c r="D529" s="148">
        <v>1</v>
      </c>
      <c r="E529" s="149" t="s">
        <v>183</v>
      </c>
      <c r="F529" s="96">
        <f>VLOOKUP(E529,CONFIGURAÇÃO!E:F,2,0)</f>
      </c>
      <c r="G529" s="147" t="s">
        <v>13</v>
      </c>
      <c r="H529" s="96">
        <f>IF(G529="CORTESIA",0,D529*F529)</f>
      </c>
      <c r="I529" s="147" t="s">
        <v>22</v>
      </c>
      <c r="J529" s="149" t="s">
        <v>184</v>
      </c>
      <c r="K529" s="147"/>
      <c r="L529" s="1"/>
      <c r="M529" s="1"/>
      <c r="N529" s="3"/>
    </row>
    <row x14ac:dyDescent="0.25" r="530" customHeight="1" ht="18.75" hidden="1">
      <c r="A530" s="67" t="s">
        <v>164</v>
      </c>
      <c r="B530" s="154" t="s">
        <v>82</v>
      </c>
      <c r="C530" s="160">
        <f>VLOOKUP(B530,CONFIGURAÇÃO!H:I,2,FALSE)</f>
      </c>
      <c r="D530" s="148">
        <v>1</v>
      </c>
      <c r="E530" s="149" t="s">
        <v>333</v>
      </c>
      <c r="F530" s="96">
        <f>VLOOKUP(E530,CONFIGURAÇÃO!E:F,2,0)</f>
      </c>
      <c r="G530" s="147" t="s">
        <v>13</v>
      </c>
      <c r="H530" s="96">
        <f>IF(G530="CORTESIA",0,D530*F530)</f>
      </c>
      <c r="I530" s="147" t="s">
        <v>22</v>
      </c>
      <c r="J530" s="149" t="s">
        <v>184</v>
      </c>
      <c r="K530" s="147"/>
      <c r="L530" s="1"/>
      <c r="M530" s="1"/>
      <c r="N530" s="3"/>
    </row>
    <row x14ac:dyDescent="0.25" r="531" customHeight="1" ht="18.75" hidden="1">
      <c r="A531" s="67" t="s">
        <v>178</v>
      </c>
      <c r="B531" s="154" t="s">
        <v>336</v>
      </c>
      <c r="C531" s="160">
        <f>VLOOKUP(B531,CONFIGURAÇÃO!H:I,2,FALSE)</f>
      </c>
      <c r="D531" s="148">
        <v>2</v>
      </c>
      <c r="E531" s="149" t="s">
        <v>78</v>
      </c>
      <c r="F531" s="96">
        <f>VLOOKUP(E531,CONFIGURAÇÃO!E:F,2,0)</f>
      </c>
      <c r="G531" s="147" t="s">
        <v>73</v>
      </c>
      <c r="H531" s="96">
        <f>IF(G531="CORTESIA",0,D531*F531)</f>
      </c>
      <c r="I531" s="147" t="s">
        <v>50</v>
      </c>
      <c r="J531" s="149" t="s">
        <v>184</v>
      </c>
      <c r="K531" s="147"/>
      <c r="L531" s="1"/>
      <c r="M531" s="1"/>
      <c r="N531" s="3"/>
    </row>
    <row x14ac:dyDescent="0.25" r="532" customHeight="1" ht="18.75" hidden="1">
      <c r="A532" s="67" t="s">
        <v>188</v>
      </c>
      <c r="B532" s="154" t="s">
        <v>337</v>
      </c>
      <c r="C532" s="160">
        <f>VLOOKUP(B532,CONFIGURAÇÃO!H:I,2,FALSE)</f>
      </c>
      <c r="D532" s="148">
        <v>2</v>
      </c>
      <c r="E532" s="149" t="s">
        <v>78</v>
      </c>
      <c r="F532" s="96">
        <f>VLOOKUP(E532,CONFIGURAÇÃO!E:F,2,0)</f>
      </c>
      <c r="G532" s="147" t="s">
        <v>73</v>
      </c>
      <c r="H532" s="96">
        <f>IF(G532="CORTESIA",0,D532*F532)</f>
      </c>
      <c r="I532" s="147" t="s">
        <v>50</v>
      </c>
      <c r="J532" s="149" t="s">
        <v>184</v>
      </c>
      <c r="K532" s="147"/>
      <c r="L532" s="1"/>
      <c r="M532" s="1"/>
      <c r="N532" s="3"/>
    </row>
    <row x14ac:dyDescent="0.25" r="533" customHeight="1" ht="18.75" hidden="1">
      <c r="A533" s="67" t="s">
        <v>160</v>
      </c>
      <c r="B533" s="154" t="s">
        <v>338</v>
      </c>
      <c r="C533" s="160">
        <f>VLOOKUP(B533,CONFIGURAÇÃO!H:I,2,FALSE)</f>
      </c>
      <c r="D533" s="148">
        <v>1</v>
      </c>
      <c r="E533" s="149" t="s">
        <v>183</v>
      </c>
      <c r="F533" s="96">
        <f>VLOOKUP(E533,CONFIGURAÇÃO!E:F,2,0)</f>
      </c>
      <c r="G533" s="147" t="s">
        <v>73</v>
      </c>
      <c r="H533" s="96">
        <f>IF(G533="CORTESIA",0,D533*F533)</f>
      </c>
      <c r="I533" s="147" t="s">
        <v>50</v>
      </c>
      <c r="J533" s="149" t="s">
        <v>184</v>
      </c>
      <c r="K533" s="147"/>
      <c r="L533" s="1"/>
      <c r="M533" s="1"/>
      <c r="N533" s="3"/>
    </row>
    <row x14ac:dyDescent="0.25" r="534" customHeight="1" ht="18.75" hidden="1">
      <c r="A534" s="67">
        <v>45740</v>
      </c>
      <c r="B534" s="154" t="s">
        <v>339</v>
      </c>
      <c r="C534" s="160">
        <f>VLOOKUP(B534,CONFIGURAÇÃO!H:I,2,FALSE)</f>
      </c>
      <c r="D534" s="148">
        <v>1</v>
      </c>
      <c r="E534" s="149" t="s">
        <v>72</v>
      </c>
      <c r="F534" s="96">
        <f>VLOOKUP(E534,CONFIGURAÇÃO!E:F,2,0)</f>
      </c>
      <c r="G534" s="147" t="s">
        <v>13</v>
      </c>
      <c r="H534" s="96">
        <f>IF(G534="CORTESIA",0,D534*F534)</f>
      </c>
      <c r="I534" s="147" t="s">
        <v>50</v>
      </c>
      <c r="J534" s="149" t="s">
        <v>184</v>
      </c>
      <c r="K534" s="147"/>
      <c r="L534" s="1"/>
      <c r="M534" s="1"/>
      <c r="N534" s="3"/>
    </row>
    <row x14ac:dyDescent="0.25" r="535" customHeight="1" ht="18.75" hidden="1">
      <c r="A535" s="67" t="s">
        <v>178</v>
      </c>
      <c r="B535" s="154" t="s">
        <v>339</v>
      </c>
      <c r="C535" s="160">
        <f>VLOOKUP(B535,CONFIGURAÇÃO!H:I,2,FALSE)</f>
      </c>
      <c r="D535" s="148">
        <v>3</v>
      </c>
      <c r="E535" s="149" t="s">
        <v>72</v>
      </c>
      <c r="F535" s="96">
        <f>VLOOKUP(E535,CONFIGURAÇÃO!E:F,2,0)</f>
      </c>
      <c r="G535" s="147" t="s">
        <v>13</v>
      </c>
      <c r="H535" s="96">
        <f>IF(G535="CORTESIA",0,D535*F535)</f>
      </c>
      <c r="I535" s="147" t="s">
        <v>50</v>
      </c>
      <c r="J535" s="149" t="s">
        <v>184</v>
      </c>
      <c r="K535" s="147"/>
      <c r="L535" s="1"/>
      <c r="M535" s="1"/>
      <c r="N535" s="3"/>
    </row>
    <row x14ac:dyDescent="0.25" r="536" customHeight="1" ht="18.75" hidden="1">
      <c r="A536" s="67" t="s">
        <v>175</v>
      </c>
      <c r="B536" s="154" t="s">
        <v>339</v>
      </c>
      <c r="C536" s="160">
        <f>VLOOKUP(B536,CONFIGURAÇÃO!H:I,2,FALSE)</f>
      </c>
      <c r="D536" s="148">
        <v>1</v>
      </c>
      <c r="E536" s="149" t="s">
        <v>72</v>
      </c>
      <c r="F536" s="96">
        <f>VLOOKUP(E536,CONFIGURAÇÃO!E:F,2,0)</f>
      </c>
      <c r="G536" s="147" t="s">
        <v>13</v>
      </c>
      <c r="H536" s="96">
        <f>IF(G536="CORTESIA",0,D536*F536)</f>
      </c>
      <c r="I536" s="147" t="s">
        <v>50</v>
      </c>
      <c r="J536" s="149" t="s">
        <v>184</v>
      </c>
      <c r="K536" s="147"/>
      <c r="L536" s="1"/>
      <c r="M536" s="1"/>
      <c r="N536" s="3"/>
    </row>
    <row x14ac:dyDescent="0.25" r="537" customHeight="1" ht="18.75" hidden="1">
      <c r="A537" s="67" t="s">
        <v>172</v>
      </c>
      <c r="B537" s="154" t="s">
        <v>339</v>
      </c>
      <c r="C537" s="160">
        <f>VLOOKUP(B537,CONFIGURAÇÃO!H:I,2,FALSE)</f>
      </c>
      <c r="D537" s="148">
        <v>1</v>
      </c>
      <c r="E537" s="149" t="s">
        <v>183</v>
      </c>
      <c r="F537" s="96">
        <f>VLOOKUP(E537,CONFIGURAÇÃO!E:F,2,0)</f>
      </c>
      <c r="G537" s="147" t="s">
        <v>13</v>
      </c>
      <c r="H537" s="96">
        <f>IF(G537="CORTESIA",0,D537*F537)</f>
      </c>
      <c r="I537" s="147" t="s">
        <v>50</v>
      </c>
      <c r="J537" s="149" t="s">
        <v>184</v>
      </c>
      <c r="K537" s="147"/>
      <c r="L537" s="1"/>
      <c r="M537" s="1"/>
      <c r="N537" s="3"/>
    </row>
    <row x14ac:dyDescent="0.25" r="538" customHeight="1" ht="18.75" hidden="1">
      <c r="A538" s="65" t="s">
        <v>228</v>
      </c>
      <c r="B538" s="155" t="s">
        <v>339</v>
      </c>
      <c r="C538" s="160">
        <f>VLOOKUP(B538,CONFIGURAÇÃO!H:I,2,FALSE)</f>
      </c>
      <c r="D538" s="66">
        <v>1</v>
      </c>
      <c r="E538" s="147" t="s">
        <v>72</v>
      </c>
      <c r="F538" s="96">
        <f>VLOOKUP(E538,CONFIGURAÇÃO!E:F,2,0)</f>
      </c>
      <c r="G538" s="147" t="s">
        <v>13</v>
      </c>
      <c r="H538" s="96">
        <f>IF(G538="CORTESIA",0,D538*F538)</f>
      </c>
      <c r="I538" s="147" t="s">
        <v>19</v>
      </c>
      <c r="J538" s="149" t="s">
        <v>184</v>
      </c>
      <c r="K538" s="147" t="s">
        <v>234</v>
      </c>
      <c r="L538" s="1"/>
      <c r="M538" s="1"/>
      <c r="N538" s="3"/>
    </row>
    <row x14ac:dyDescent="0.25" r="539" customHeight="1" ht="18.75" hidden="1">
      <c r="A539" s="67" t="s">
        <v>164</v>
      </c>
      <c r="B539" s="154" t="s">
        <v>339</v>
      </c>
      <c r="C539" s="160">
        <f>VLOOKUP(B539,CONFIGURAÇÃO!H:I,2,FALSE)</f>
      </c>
      <c r="D539" s="148">
        <v>2</v>
      </c>
      <c r="E539" s="149" t="s">
        <v>183</v>
      </c>
      <c r="F539" s="96">
        <f>VLOOKUP(E539,CONFIGURAÇÃO!E:F,2,0)</f>
      </c>
      <c r="G539" s="147" t="s">
        <v>13</v>
      </c>
      <c r="H539" s="96">
        <f>IF(G539="CORTESIA",0,D539*F539)</f>
      </c>
      <c r="I539" s="147" t="s">
        <v>19</v>
      </c>
      <c r="J539" s="149" t="s">
        <v>184</v>
      </c>
      <c r="K539" s="147" t="s">
        <v>234</v>
      </c>
      <c r="L539" s="1"/>
      <c r="M539" s="1"/>
      <c r="N539" s="3"/>
    </row>
    <row x14ac:dyDescent="0.25" r="540" customHeight="1" ht="18.75" hidden="1">
      <c r="A540" s="65" t="s">
        <v>189</v>
      </c>
      <c r="B540" s="155" t="s">
        <v>339</v>
      </c>
      <c r="C540" s="160">
        <f>VLOOKUP(B540,CONFIGURAÇÃO!H:I,2,FALSE)</f>
      </c>
      <c r="D540" s="66">
        <v>2</v>
      </c>
      <c r="E540" s="147" t="s">
        <v>72</v>
      </c>
      <c r="F540" s="96">
        <f>VLOOKUP(E540,CONFIGURAÇÃO!E:F,2,0)</f>
      </c>
      <c r="G540" s="147" t="s">
        <v>13</v>
      </c>
      <c r="H540" s="96">
        <f>IF(G540="CORTESIA",0,D540*F540)</f>
      </c>
      <c r="I540" s="147" t="s">
        <v>50</v>
      </c>
      <c r="J540" s="147"/>
      <c r="K540" s="147"/>
      <c r="L540" s="1"/>
      <c r="M540" s="1"/>
      <c r="N540" s="3"/>
    </row>
    <row x14ac:dyDescent="0.25" r="541" customHeight="1" ht="18.75" hidden="1">
      <c r="A541" s="67" t="s">
        <v>189</v>
      </c>
      <c r="B541" s="154" t="s">
        <v>336</v>
      </c>
      <c r="C541" s="160">
        <f>VLOOKUP(B541,CONFIGURAÇÃO!H:I,2,FALSE)</f>
      </c>
      <c r="D541" s="148">
        <v>1</v>
      </c>
      <c r="E541" s="149" t="s">
        <v>78</v>
      </c>
      <c r="F541" s="96">
        <f>VLOOKUP(E541,CONFIGURAÇÃO!E:F,2,0)</f>
      </c>
      <c r="G541" s="147" t="s">
        <v>13</v>
      </c>
      <c r="H541" s="96">
        <f>IF(G541="CORTESIA",0,D541*F541)</f>
      </c>
      <c r="I541" s="147" t="s">
        <v>19</v>
      </c>
      <c r="J541" s="149" t="s">
        <v>184</v>
      </c>
      <c r="K541" s="147" t="s">
        <v>234</v>
      </c>
      <c r="L541" s="1"/>
      <c r="M541" s="1"/>
      <c r="N541" s="3"/>
    </row>
    <row x14ac:dyDescent="0.25" r="542" customHeight="1" ht="18.75" hidden="1">
      <c r="A542" s="67">
        <v>45740</v>
      </c>
      <c r="B542" s="154" t="s">
        <v>340</v>
      </c>
      <c r="C542" s="160">
        <f>VLOOKUP(B542,CONFIGURAÇÃO!H:I,2,FALSE)</f>
      </c>
      <c r="D542" s="148">
        <v>2</v>
      </c>
      <c r="E542" s="149" t="s">
        <v>171</v>
      </c>
      <c r="F542" s="96">
        <f>VLOOKUP(E542,CONFIGURAÇÃO!E:F,2,0)</f>
      </c>
      <c r="G542" s="147" t="s">
        <v>13</v>
      </c>
      <c r="H542" s="96">
        <f>IF(G542="CORTESIA",0,D542*F542)</f>
      </c>
      <c r="I542" s="147" t="s">
        <v>50</v>
      </c>
      <c r="J542" s="149" t="s">
        <v>184</v>
      </c>
      <c r="K542" s="147"/>
      <c r="L542" s="1"/>
      <c r="M542" s="1"/>
      <c r="N542" s="3"/>
    </row>
    <row x14ac:dyDescent="0.25" r="543" customHeight="1" ht="18.75" hidden="1">
      <c r="A543" s="67" t="s">
        <v>175</v>
      </c>
      <c r="B543" s="154" t="s">
        <v>340</v>
      </c>
      <c r="C543" s="160">
        <f>VLOOKUP(B543,CONFIGURAÇÃO!H:I,2,FALSE)</f>
      </c>
      <c r="D543" s="148">
        <v>1</v>
      </c>
      <c r="E543" s="149" t="s">
        <v>72</v>
      </c>
      <c r="F543" s="96">
        <f>VLOOKUP(E543,CONFIGURAÇÃO!E:F,2,0)</f>
      </c>
      <c r="G543" s="147" t="s">
        <v>13</v>
      </c>
      <c r="H543" s="96">
        <f>IF(G543="CORTESIA",0,D543*F543)</f>
      </c>
      <c r="I543" s="147" t="s">
        <v>50</v>
      </c>
      <c r="J543" s="149" t="s">
        <v>184</v>
      </c>
      <c r="K543" s="147"/>
      <c r="L543" s="1"/>
      <c r="M543" s="1"/>
      <c r="N543" s="3"/>
    </row>
    <row x14ac:dyDescent="0.25" r="544" customHeight="1" ht="18.75" hidden="1">
      <c r="A544" s="65" t="s">
        <v>164</v>
      </c>
      <c r="B544" s="154" t="s">
        <v>340</v>
      </c>
      <c r="C544" s="160">
        <f>VLOOKUP(B544,CONFIGURAÇÃO!H:I,2,FALSE)</f>
      </c>
      <c r="D544" s="66">
        <v>2</v>
      </c>
      <c r="E544" s="147" t="s">
        <v>183</v>
      </c>
      <c r="F544" s="96">
        <f>VLOOKUP(E544,CONFIGURAÇÃO!E:F,2,0)</f>
      </c>
      <c r="G544" s="147" t="s">
        <v>13</v>
      </c>
      <c r="H544" s="96">
        <f>IF(G544="CORTESIA",0,D544*F544)</f>
      </c>
      <c r="I544" s="147" t="s">
        <v>50</v>
      </c>
      <c r="J544" s="149" t="s">
        <v>184</v>
      </c>
      <c r="K544" s="147"/>
      <c r="L544" s="1"/>
      <c r="M544" s="1"/>
      <c r="N544" s="3"/>
    </row>
    <row x14ac:dyDescent="0.25" r="545" customHeight="1" ht="18.75" hidden="1">
      <c r="A545" s="67" t="s">
        <v>198</v>
      </c>
      <c r="B545" s="154" t="s">
        <v>340</v>
      </c>
      <c r="C545" s="160">
        <f>VLOOKUP(B545,CONFIGURAÇÃO!H:I,2,FALSE)</f>
      </c>
      <c r="D545" s="148">
        <v>1</v>
      </c>
      <c r="E545" s="149" t="s">
        <v>183</v>
      </c>
      <c r="F545" s="96">
        <f>VLOOKUP(E545,CONFIGURAÇÃO!E:F,2,0)</f>
      </c>
      <c r="G545" s="147" t="s">
        <v>13</v>
      </c>
      <c r="H545" s="96">
        <f>IF(G545="CORTESIA",0,D545*F545)</f>
      </c>
      <c r="I545" s="147" t="s">
        <v>50</v>
      </c>
      <c r="J545" s="149" t="s">
        <v>184</v>
      </c>
      <c r="K545" s="147"/>
      <c r="L545" s="1"/>
      <c r="M545" s="1"/>
      <c r="N545" s="3"/>
    </row>
    <row x14ac:dyDescent="0.25" r="546" customHeight="1" ht="18.75" hidden="1">
      <c r="A546" s="67" t="s">
        <v>163</v>
      </c>
      <c r="B546" s="154" t="s">
        <v>340</v>
      </c>
      <c r="C546" s="160">
        <f>VLOOKUP(B546,CONFIGURAÇÃO!H:I,2,FALSE)</f>
      </c>
      <c r="D546" s="148">
        <v>2</v>
      </c>
      <c r="E546" s="149" t="s">
        <v>183</v>
      </c>
      <c r="F546" s="96">
        <f>VLOOKUP(E546,CONFIGURAÇÃO!E:F,2,0)</f>
      </c>
      <c r="G546" s="147" t="s">
        <v>13</v>
      </c>
      <c r="H546" s="96">
        <f>IF(G546="CORTESIA",0,D546*F546)</f>
      </c>
      <c r="I546" s="147" t="s">
        <v>19</v>
      </c>
      <c r="J546" s="149" t="s">
        <v>184</v>
      </c>
      <c r="K546" s="147"/>
      <c r="L546" s="1"/>
      <c r="M546" s="1"/>
      <c r="N546" s="3"/>
    </row>
    <row x14ac:dyDescent="0.25" r="547" customHeight="1" ht="18.75" hidden="1">
      <c r="A547" s="67" t="s">
        <v>163</v>
      </c>
      <c r="B547" s="154" t="s">
        <v>341</v>
      </c>
      <c r="C547" s="160">
        <f>VLOOKUP(B547,CONFIGURAÇÃO!H:I,2,FALSE)</f>
      </c>
      <c r="D547" s="148">
        <v>1</v>
      </c>
      <c r="E547" s="149" t="s">
        <v>183</v>
      </c>
      <c r="F547" s="96">
        <f>VLOOKUP(E547,CONFIGURAÇÃO!E:F,2,0)</f>
      </c>
      <c r="G547" s="147" t="s">
        <v>13</v>
      </c>
      <c r="H547" s="96">
        <f>IF(G547="CORTESIA",0,D547*F547)</f>
      </c>
      <c r="I547" s="147" t="s">
        <v>19</v>
      </c>
      <c r="J547" s="149" t="s">
        <v>184</v>
      </c>
      <c r="K547" s="147"/>
      <c r="L547" s="1"/>
      <c r="M547" s="1"/>
      <c r="N547" s="3"/>
    </row>
    <row x14ac:dyDescent="0.25" r="548" customHeight="1" ht="18.75" hidden="1">
      <c r="A548" s="65" t="s">
        <v>177</v>
      </c>
      <c r="B548" s="155" t="s">
        <v>342</v>
      </c>
      <c r="C548" s="160">
        <f>VLOOKUP(B548,CONFIGURAÇÃO!H:I,2,FALSE)</f>
      </c>
      <c r="D548" s="66">
        <v>1</v>
      </c>
      <c r="E548" s="147" t="s">
        <v>78</v>
      </c>
      <c r="F548" s="96">
        <f>VLOOKUP(E548,CONFIGURAÇÃO!E:F,2,0)</f>
      </c>
      <c r="G548" s="147" t="s">
        <v>13</v>
      </c>
      <c r="H548" s="96">
        <f>IF(G548="CORTESIA",0,D548*F548)</f>
      </c>
      <c r="I548" s="147" t="s">
        <v>19</v>
      </c>
      <c r="J548" s="149" t="s">
        <v>184</v>
      </c>
      <c r="K548" s="147"/>
      <c r="L548" s="1"/>
      <c r="M548" s="1"/>
      <c r="N548" s="3"/>
    </row>
    <row x14ac:dyDescent="0.25" r="549" customHeight="1" ht="18.75" hidden="1">
      <c r="A549" s="67" t="s">
        <v>179</v>
      </c>
      <c r="B549" s="154" t="s">
        <v>342</v>
      </c>
      <c r="C549" s="160">
        <f>VLOOKUP(B549,CONFIGURAÇÃO!H:I,2,FALSE)</f>
      </c>
      <c r="D549" s="148">
        <v>2</v>
      </c>
      <c r="E549" s="149" t="s">
        <v>78</v>
      </c>
      <c r="F549" s="96">
        <f>VLOOKUP(E549,CONFIGURAÇÃO!E:F,2,0)</f>
      </c>
      <c r="G549" s="147" t="s">
        <v>13</v>
      </c>
      <c r="H549" s="96">
        <f>IF(G549="CORTESIA",0,D549*F549)</f>
      </c>
      <c r="I549" s="147" t="s">
        <v>50</v>
      </c>
      <c r="J549" s="149" t="s">
        <v>184</v>
      </c>
      <c r="K549" s="147"/>
      <c r="L549" s="1"/>
      <c r="M549" s="1"/>
      <c r="N549" s="3"/>
    </row>
    <row x14ac:dyDescent="0.25" r="550" customHeight="1" ht="18.75" hidden="1">
      <c r="A550" s="67" t="s">
        <v>198</v>
      </c>
      <c r="B550" s="154" t="s">
        <v>343</v>
      </c>
      <c r="C550" s="160">
        <f>VLOOKUP(B550,CONFIGURAÇÃO!H:I,2,FALSE)</f>
      </c>
      <c r="D550" s="148">
        <v>1</v>
      </c>
      <c r="E550" s="149" t="s">
        <v>183</v>
      </c>
      <c r="F550" s="96">
        <f>VLOOKUP(E550,CONFIGURAÇÃO!E:F,2,0)</f>
      </c>
      <c r="G550" s="147" t="s">
        <v>73</v>
      </c>
      <c r="H550" s="96">
        <f>IF(G550="CORTESIA",0,D550*F550)</f>
      </c>
      <c r="I550" s="147" t="s">
        <v>50</v>
      </c>
      <c r="J550" s="149" t="s">
        <v>184</v>
      </c>
      <c r="K550" s="147"/>
      <c r="L550" s="1"/>
      <c r="M550" s="1"/>
      <c r="N550" s="3"/>
    </row>
    <row x14ac:dyDescent="0.25" r="551" customHeight="1" ht="18.75" hidden="1">
      <c r="A551" s="67" t="s">
        <v>178</v>
      </c>
      <c r="B551" s="154" t="s">
        <v>343</v>
      </c>
      <c r="C551" s="160">
        <f>VLOOKUP(B551,CONFIGURAÇÃO!H:I,2,FALSE)</f>
      </c>
      <c r="D551" s="148">
        <v>2</v>
      </c>
      <c r="E551" s="149" t="s">
        <v>72</v>
      </c>
      <c r="F551" s="96">
        <f>VLOOKUP(E551,CONFIGURAÇÃO!E:F,2,0)</f>
      </c>
      <c r="G551" s="147" t="s">
        <v>73</v>
      </c>
      <c r="H551" s="96">
        <f>IF(G551="CORTESIA",0,D551*F551)</f>
      </c>
      <c r="I551" s="147" t="s">
        <v>50</v>
      </c>
      <c r="J551" s="149" t="s">
        <v>184</v>
      </c>
      <c r="K551" s="147"/>
      <c r="L551" s="1"/>
      <c r="M551" s="1"/>
      <c r="N551" s="3"/>
    </row>
    <row x14ac:dyDescent="0.25" r="552" customHeight="1" ht="18.75" hidden="1">
      <c r="A552" s="67" t="s">
        <v>172</v>
      </c>
      <c r="B552" s="154" t="s">
        <v>343</v>
      </c>
      <c r="C552" s="160">
        <f>VLOOKUP(B552,CONFIGURAÇÃO!H:I,2,FALSE)</f>
      </c>
      <c r="D552" s="148">
        <v>1</v>
      </c>
      <c r="E552" s="149" t="s">
        <v>183</v>
      </c>
      <c r="F552" s="96">
        <f>VLOOKUP(E552,CONFIGURAÇÃO!E:F,2,0)</f>
      </c>
      <c r="G552" s="147" t="s">
        <v>73</v>
      </c>
      <c r="H552" s="96">
        <f>IF(G552="CORTESIA",0,D552*F552)</f>
      </c>
      <c r="I552" s="147" t="s">
        <v>50</v>
      </c>
      <c r="J552" s="149" t="s">
        <v>184</v>
      </c>
      <c r="K552" s="147"/>
      <c r="L552" s="1"/>
      <c r="M552" s="1"/>
      <c r="N552" s="3"/>
    </row>
    <row x14ac:dyDescent="0.25" r="553" customHeight="1" ht="18.75" hidden="1">
      <c r="A553" s="67" t="s">
        <v>159</v>
      </c>
      <c r="B553" s="154" t="s">
        <v>343</v>
      </c>
      <c r="C553" s="160">
        <f>VLOOKUP(B553,CONFIGURAÇÃO!H:I,2,FALSE)</f>
      </c>
      <c r="D553" s="148">
        <v>1</v>
      </c>
      <c r="E553" s="149" t="s">
        <v>72</v>
      </c>
      <c r="F553" s="96">
        <f>VLOOKUP(E553,CONFIGURAÇÃO!E:F,2,0)</f>
      </c>
      <c r="G553" s="147" t="s">
        <v>73</v>
      </c>
      <c r="H553" s="96">
        <f>IF(G553="CORTESIA",0,D553*F553)</f>
      </c>
      <c r="I553" s="147" t="s">
        <v>50</v>
      </c>
      <c r="J553" s="149" t="s">
        <v>184</v>
      </c>
      <c r="K553" s="147"/>
      <c r="L553" s="1"/>
      <c r="M553" s="1"/>
      <c r="N553" s="3"/>
    </row>
    <row x14ac:dyDescent="0.25" r="554" customHeight="1" ht="18.75" hidden="1">
      <c r="A554" s="67" t="s">
        <v>159</v>
      </c>
      <c r="B554" s="154" t="s">
        <v>343</v>
      </c>
      <c r="C554" s="160">
        <f>VLOOKUP(B554,CONFIGURAÇÃO!H:I,2,FALSE)</f>
      </c>
      <c r="D554" s="148">
        <v>1</v>
      </c>
      <c r="E554" s="149" t="s">
        <v>78</v>
      </c>
      <c r="F554" s="96">
        <f>VLOOKUP(E554,CONFIGURAÇÃO!E:F,2,0)</f>
      </c>
      <c r="G554" s="147" t="s">
        <v>73</v>
      </c>
      <c r="H554" s="96">
        <f>IF(G554="CORTESIA",0,D554*F554)</f>
      </c>
      <c r="I554" s="147" t="s">
        <v>50</v>
      </c>
      <c r="J554" s="149" t="s">
        <v>184</v>
      </c>
      <c r="K554" s="147"/>
      <c r="L554" s="1"/>
      <c r="M554" s="1"/>
      <c r="N554" s="3"/>
    </row>
    <row x14ac:dyDescent="0.25" r="555" customHeight="1" ht="18.75" hidden="1">
      <c r="A555" s="65" t="s">
        <v>162</v>
      </c>
      <c r="B555" s="155" t="s">
        <v>343</v>
      </c>
      <c r="C555" s="160">
        <f>VLOOKUP(B555,CONFIGURAÇÃO!H:I,2,FALSE)</f>
      </c>
      <c r="D555" s="66">
        <v>2</v>
      </c>
      <c r="E555" s="147" t="s">
        <v>78</v>
      </c>
      <c r="F555" s="96">
        <f>VLOOKUP(E555,CONFIGURAÇÃO!E:F,2,0)</f>
      </c>
      <c r="G555" s="147" t="s">
        <v>73</v>
      </c>
      <c r="H555" s="96">
        <f>IF(G555="CORTESIA",0,D555*F555)</f>
      </c>
      <c r="I555" s="147" t="s">
        <v>50</v>
      </c>
      <c r="J555" s="149" t="s">
        <v>184</v>
      </c>
      <c r="K555" s="147"/>
      <c r="L555" s="1"/>
      <c r="M555" s="1"/>
      <c r="N555" s="3"/>
    </row>
    <row x14ac:dyDescent="0.25" r="556" customHeight="1" ht="18.75" hidden="1">
      <c r="A556" s="65" t="s">
        <v>159</v>
      </c>
      <c r="B556" s="155" t="s">
        <v>79</v>
      </c>
      <c r="C556" s="160">
        <f>VLOOKUP(B556,CONFIGURAÇÃO!H:I,2,FALSE)</f>
      </c>
      <c r="D556" s="66">
        <v>1</v>
      </c>
      <c r="E556" s="147" t="s">
        <v>78</v>
      </c>
      <c r="F556" s="96">
        <f>VLOOKUP(E556,CONFIGURAÇÃO!E:F,2,0)</f>
      </c>
      <c r="G556" s="147" t="s">
        <v>13</v>
      </c>
      <c r="H556" s="96">
        <f>IF(G556="CORTESIA",0,D556*F556)</f>
      </c>
      <c r="I556" s="147" t="s">
        <v>22</v>
      </c>
      <c r="J556" s="149" t="s">
        <v>184</v>
      </c>
      <c r="K556" s="147"/>
      <c r="L556" s="1"/>
      <c r="M556" s="1"/>
      <c r="N556" s="3"/>
    </row>
    <row x14ac:dyDescent="0.25" r="557" customHeight="1" ht="18.75" hidden="1">
      <c r="A557" s="67">
        <v>45748</v>
      </c>
      <c r="B557" s="154" t="s">
        <v>344</v>
      </c>
      <c r="C557" s="160">
        <f>VLOOKUP(B557,CONFIGURAÇÃO!H:I,2,FALSE)</f>
      </c>
      <c r="D557" s="148">
        <v>1</v>
      </c>
      <c r="E557" s="149" t="s">
        <v>72</v>
      </c>
      <c r="F557" s="96">
        <f>VLOOKUP(E557,CONFIGURAÇÃO!E:F,2,0)</f>
      </c>
      <c r="G557" s="147" t="s">
        <v>13</v>
      </c>
      <c r="H557" s="96">
        <f>IF(G557="CORTESIA",0,D557*F557)</f>
      </c>
      <c r="I557" s="147" t="s">
        <v>19</v>
      </c>
      <c r="J557" s="149" t="s">
        <v>184</v>
      </c>
      <c r="K557" s="147"/>
      <c r="L557" s="1"/>
      <c r="M557" s="1"/>
      <c r="N557" s="3"/>
    </row>
    <row x14ac:dyDescent="0.25" r="558" customHeight="1" ht="18.75" hidden="1">
      <c r="A558" s="65" t="s">
        <v>159</v>
      </c>
      <c r="B558" s="155" t="s">
        <v>344</v>
      </c>
      <c r="C558" s="160">
        <f>VLOOKUP(B558,CONFIGURAÇÃO!H:I,2,FALSE)</f>
      </c>
      <c r="D558" s="66">
        <v>1</v>
      </c>
      <c r="E558" s="147" t="s">
        <v>72</v>
      </c>
      <c r="F558" s="96">
        <f>VLOOKUP(E558,CONFIGURAÇÃO!E:F,2,0)</f>
      </c>
      <c r="G558" s="147" t="s">
        <v>13</v>
      </c>
      <c r="H558" s="96">
        <f>IF(G558="CORTESIA",0,D558*F558)</f>
      </c>
      <c r="I558" s="147" t="s">
        <v>19</v>
      </c>
      <c r="J558" s="149" t="s">
        <v>184</v>
      </c>
      <c r="K558" s="147"/>
      <c r="L558" s="1"/>
      <c r="M558" s="1"/>
      <c r="N558" s="3"/>
    </row>
    <row x14ac:dyDescent="0.25" r="559" customHeight="1" ht="18.75">
      <c r="A559" s="65">
        <v>45661</v>
      </c>
      <c r="B559" s="155" t="s">
        <v>173</v>
      </c>
      <c r="C559" s="160">
        <f>VLOOKUP(B559,CONFIGURAÇÃO!H:I,2,FALSE)</f>
      </c>
      <c r="D559" s="66">
        <v>2</v>
      </c>
      <c r="E559" s="147" t="s">
        <v>72</v>
      </c>
      <c r="F559" s="96">
        <f>VLOOKUP(E559,CONFIGURAÇÃO!E:F,2,0)</f>
      </c>
      <c r="G559" s="147" t="s">
        <v>291</v>
      </c>
      <c r="H559" s="96">
        <f>IF(G559="CORTESIA",0,D559*F559)</f>
      </c>
      <c r="I559" s="147" t="s">
        <v>50</v>
      </c>
      <c r="J559" s="149" t="s">
        <v>184</v>
      </c>
      <c r="K559" s="147"/>
      <c r="L559" s="1"/>
      <c r="M559" s="1"/>
      <c r="N559" s="3"/>
    </row>
    <row x14ac:dyDescent="0.25" r="560" customHeight="1" ht="18.75" hidden="1">
      <c r="A560" s="67" t="s">
        <v>198</v>
      </c>
      <c r="B560" s="154" t="s">
        <v>173</v>
      </c>
      <c r="C560" s="160">
        <f>VLOOKUP(B560,CONFIGURAÇÃO!H:I,2,FALSE)</f>
      </c>
      <c r="D560" s="148">
        <v>1</v>
      </c>
      <c r="E560" s="149" t="s">
        <v>183</v>
      </c>
      <c r="F560" s="96">
        <f>VLOOKUP(E560,CONFIGURAÇÃO!E:F,2,0)</f>
      </c>
      <c r="G560" s="147" t="s">
        <v>73</v>
      </c>
      <c r="H560" s="96">
        <f>IF(G560="CORTESIA",0,D560*F560)</f>
      </c>
      <c r="I560" s="147" t="s">
        <v>50</v>
      </c>
      <c r="J560" s="149" t="s">
        <v>184</v>
      </c>
      <c r="K560" s="147"/>
      <c r="L560" s="1"/>
      <c r="M560" s="1"/>
      <c r="N560" s="3"/>
    </row>
    <row x14ac:dyDescent="0.25" r="561" customHeight="1" ht="18.75" hidden="1">
      <c r="A561" s="67" t="s">
        <v>159</v>
      </c>
      <c r="B561" s="154" t="s">
        <v>173</v>
      </c>
      <c r="C561" s="160">
        <f>VLOOKUP(B561,CONFIGURAÇÃO!H:I,2,FALSE)</f>
      </c>
      <c r="D561" s="148">
        <v>1</v>
      </c>
      <c r="E561" s="149" t="s">
        <v>78</v>
      </c>
      <c r="F561" s="96">
        <f>VLOOKUP(E561,CONFIGURAÇÃO!E:F,2,0)</f>
      </c>
      <c r="G561" s="147" t="s">
        <v>73</v>
      </c>
      <c r="H561" s="96">
        <f>IF(G561="CORTESIA",0,D561*F561)</f>
      </c>
      <c r="I561" s="147" t="s">
        <v>50</v>
      </c>
      <c r="J561" s="149" t="s">
        <v>184</v>
      </c>
      <c r="K561" s="147"/>
      <c r="L561" s="1"/>
      <c r="M561" s="1"/>
      <c r="N561" s="3"/>
    </row>
    <row x14ac:dyDescent="0.25" r="562" customHeight="1" ht="18.75" hidden="1">
      <c r="A562" s="65" t="s">
        <v>177</v>
      </c>
      <c r="B562" s="155" t="s">
        <v>129</v>
      </c>
      <c r="C562" s="160">
        <f>VLOOKUP(B562,CONFIGURAÇÃO!H:I,2,FALSE)</f>
      </c>
      <c r="D562" s="66">
        <v>1</v>
      </c>
      <c r="E562" s="147" t="s">
        <v>78</v>
      </c>
      <c r="F562" s="96">
        <f>VLOOKUP(E562,CONFIGURAÇÃO!E:F,2,0)</f>
      </c>
      <c r="G562" s="147" t="s">
        <v>13</v>
      </c>
      <c r="H562" s="96">
        <f>IF(G562="CORTESIA",0,D562*F562)</f>
      </c>
      <c r="I562" s="147" t="s">
        <v>22</v>
      </c>
      <c r="J562" s="149" t="s">
        <v>184</v>
      </c>
      <c r="K562" s="147"/>
      <c r="L562" s="1"/>
      <c r="M562" s="1"/>
      <c r="N562" s="3"/>
    </row>
    <row x14ac:dyDescent="0.25" r="563" customHeight="1" ht="18.75" hidden="1">
      <c r="A563" s="65" t="s">
        <v>159</v>
      </c>
      <c r="B563" s="155" t="s">
        <v>129</v>
      </c>
      <c r="C563" s="160">
        <f>VLOOKUP(B563,CONFIGURAÇÃO!H:I,2,FALSE)</f>
      </c>
      <c r="D563" s="66">
        <v>1</v>
      </c>
      <c r="E563" s="147" t="s">
        <v>72</v>
      </c>
      <c r="F563" s="96">
        <f>VLOOKUP(E563,CONFIGURAÇÃO!E:F,2,0)</f>
      </c>
      <c r="G563" s="147" t="s">
        <v>13</v>
      </c>
      <c r="H563" s="96">
        <f>IF(G563="CORTESIA",0,D563*F563)</f>
      </c>
      <c r="I563" s="147" t="s">
        <v>22</v>
      </c>
      <c r="J563" s="149" t="s">
        <v>184</v>
      </c>
      <c r="K563" s="147"/>
      <c r="L563" s="1"/>
      <c r="M563" s="1"/>
      <c r="N563" s="3"/>
    </row>
    <row x14ac:dyDescent="0.25" r="564" customHeight="1" ht="18.75" hidden="1">
      <c r="A564" s="65" t="s">
        <v>205</v>
      </c>
      <c r="B564" s="155" t="s">
        <v>129</v>
      </c>
      <c r="C564" s="160">
        <f>VLOOKUP(B564,CONFIGURAÇÃO!H:I,2,FALSE)</f>
      </c>
      <c r="D564" s="66">
        <v>2</v>
      </c>
      <c r="E564" s="147" t="s">
        <v>72</v>
      </c>
      <c r="F564" s="96">
        <f>VLOOKUP(E564,CONFIGURAÇÃO!E:F,2,0)</f>
      </c>
      <c r="G564" s="147" t="s">
        <v>13</v>
      </c>
      <c r="H564" s="96">
        <f>IF(G564="CORTESIA",0,D564*F564)</f>
      </c>
      <c r="I564" s="147" t="s">
        <v>22</v>
      </c>
      <c r="J564" s="149" t="s">
        <v>184</v>
      </c>
      <c r="K564" s="147"/>
      <c r="L564" s="1"/>
      <c r="M564" s="1"/>
      <c r="N564" s="3"/>
    </row>
    <row x14ac:dyDescent="0.25" r="565" customHeight="1" ht="18.75" hidden="1">
      <c r="A565" s="67" t="s">
        <v>161</v>
      </c>
      <c r="B565" s="154" t="s">
        <v>129</v>
      </c>
      <c r="C565" s="160">
        <f>VLOOKUP(B565,CONFIGURAÇÃO!H:I,2,FALSE)</f>
      </c>
      <c r="D565" s="148">
        <v>3</v>
      </c>
      <c r="E565" s="149" t="s">
        <v>183</v>
      </c>
      <c r="F565" s="96">
        <f>VLOOKUP(E565,CONFIGURAÇÃO!E:F,2,0)</f>
      </c>
      <c r="G565" s="147" t="s">
        <v>13</v>
      </c>
      <c r="H565" s="96">
        <f>IF(G565="CORTESIA",0,D565*F565)</f>
      </c>
      <c r="I565" s="147" t="s">
        <v>22</v>
      </c>
      <c r="J565" s="149" t="s">
        <v>184</v>
      </c>
      <c r="K565" s="147"/>
      <c r="L565" s="1"/>
      <c r="M565" s="1"/>
      <c r="N565" s="3"/>
    </row>
    <row x14ac:dyDescent="0.25" r="566" customHeight="1" ht="18.75" hidden="1">
      <c r="A566" s="67" t="s">
        <v>162</v>
      </c>
      <c r="B566" s="154" t="s">
        <v>129</v>
      </c>
      <c r="C566" s="160">
        <f>VLOOKUP(B566,CONFIGURAÇÃO!H:I,2,FALSE)</f>
      </c>
      <c r="D566" s="148">
        <v>2</v>
      </c>
      <c r="E566" s="149" t="s">
        <v>72</v>
      </c>
      <c r="F566" s="96">
        <f>VLOOKUP(E566,CONFIGURAÇÃO!E:F,2,0)</f>
      </c>
      <c r="G566" s="147" t="s">
        <v>13</v>
      </c>
      <c r="H566" s="96">
        <f>IF(G566="CORTESIA",0,D566*F566)</f>
      </c>
      <c r="I566" s="147" t="s">
        <v>22</v>
      </c>
      <c r="J566" s="149" t="s">
        <v>184</v>
      </c>
      <c r="K566" s="147"/>
      <c r="L566" s="1"/>
      <c r="M566" s="1"/>
      <c r="N566" s="3"/>
    </row>
    <row x14ac:dyDescent="0.25" r="567" customHeight="1" ht="18.75" hidden="1">
      <c r="A567" s="67" t="s">
        <v>162</v>
      </c>
      <c r="B567" s="154" t="s">
        <v>129</v>
      </c>
      <c r="C567" s="160">
        <f>VLOOKUP(B567,CONFIGURAÇÃO!H:I,2,FALSE)</f>
      </c>
      <c r="D567" s="148">
        <v>2</v>
      </c>
      <c r="E567" s="149" t="s">
        <v>78</v>
      </c>
      <c r="F567" s="96">
        <f>VLOOKUP(E567,CONFIGURAÇÃO!E:F,2,0)</f>
      </c>
      <c r="G567" s="147" t="s">
        <v>13</v>
      </c>
      <c r="H567" s="96">
        <f>IF(G567="CORTESIA",0,D567*F567)</f>
      </c>
      <c r="I567" s="147" t="s">
        <v>22</v>
      </c>
      <c r="J567" s="149" t="s">
        <v>184</v>
      </c>
      <c r="K567" s="147"/>
      <c r="L567" s="1"/>
      <c r="M567" s="1"/>
      <c r="N567" s="3"/>
    </row>
    <row x14ac:dyDescent="0.25" r="568" customHeight="1" ht="18.75" hidden="1">
      <c r="A568" s="65" t="s">
        <v>188</v>
      </c>
      <c r="B568" s="155" t="s">
        <v>142</v>
      </c>
      <c r="C568" s="160">
        <f>VLOOKUP(B568,CONFIGURAÇÃO!H:I,2,FALSE)</f>
      </c>
      <c r="D568" s="66">
        <v>1</v>
      </c>
      <c r="E568" s="147" t="s">
        <v>78</v>
      </c>
      <c r="F568" s="96">
        <f>VLOOKUP(E568,CONFIGURAÇÃO!E:F,2,0)</f>
      </c>
      <c r="G568" s="147" t="s">
        <v>13</v>
      </c>
      <c r="H568" s="96">
        <f>IF(G568="CORTESIA",0,D568*F568)</f>
      </c>
      <c r="I568" s="147" t="s">
        <v>22</v>
      </c>
      <c r="J568" s="149" t="s">
        <v>184</v>
      </c>
      <c r="K568" s="147"/>
      <c r="L568" s="1"/>
      <c r="M568" s="1"/>
      <c r="N568" s="3"/>
    </row>
    <row x14ac:dyDescent="0.25" r="569" customHeight="1" ht="18.75" hidden="1">
      <c r="A569" s="65" t="s">
        <v>159</v>
      </c>
      <c r="B569" s="155" t="s">
        <v>142</v>
      </c>
      <c r="C569" s="160">
        <f>VLOOKUP(B569,CONFIGURAÇÃO!H:I,2,FALSE)</f>
      </c>
      <c r="D569" s="66">
        <v>1</v>
      </c>
      <c r="E569" s="147" t="s">
        <v>72</v>
      </c>
      <c r="F569" s="96">
        <f>VLOOKUP(E569,CONFIGURAÇÃO!E:F,2,0)</f>
      </c>
      <c r="G569" s="147" t="s">
        <v>13</v>
      </c>
      <c r="H569" s="96">
        <f>IF(G569="CORTESIA",0,D569*F569)</f>
      </c>
      <c r="I569" s="147" t="s">
        <v>22</v>
      </c>
      <c r="J569" s="149" t="s">
        <v>184</v>
      </c>
      <c r="K569" s="147"/>
      <c r="L569" s="1"/>
      <c r="M569" s="1"/>
      <c r="N569" s="3"/>
    </row>
    <row x14ac:dyDescent="0.25" r="570" customHeight="1" ht="18.75" hidden="1">
      <c r="A570" s="67" t="s">
        <v>163</v>
      </c>
      <c r="B570" s="154" t="s">
        <v>142</v>
      </c>
      <c r="C570" s="160">
        <f>VLOOKUP(B570,CONFIGURAÇÃO!H:I,2,FALSE)</f>
      </c>
      <c r="D570" s="148">
        <v>1</v>
      </c>
      <c r="E570" s="149" t="s">
        <v>78</v>
      </c>
      <c r="F570" s="96">
        <f>VLOOKUP(E570,CONFIGURAÇÃO!E:F,2,0)</f>
      </c>
      <c r="G570" s="147" t="s">
        <v>13</v>
      </c>
      <c r="H570" s="96">
        <f>IF(G570="CORTESIA",0,D570*F570)</f>
      </c>
      <c r="I570" s="147" t="s">
        <v>22</v>
      </c>
      <c r="J570" s="149" t="s">
        <v>184</v>
      </c>
      <c r="K570" s="147"/>
      <c r="L570" s="1"/>
      <c r="M570" s="1"/>
      <c r="N570" s="3"/>
    </row>
    <row x14ac:dyDescent="0.25" r="571" customHeight="1" ht="18.75" hidden="1">
      <c r="A571" s="67" t="s">
        <v>159</v>
      </c>
      <c r="B571" s="154" t="s">
        <v>345</v>
      </c>
      <c r="C571" s="160">
        <f>VLOOKUP(B571,CONFIGURAÇÃO!H:I,2,FALSE)</f>
      </c>
      <c r="D571" s="148">
        <v>1</v>
      </c>
      <c r="E571" s="149" t="s">
        <v>78</v>
      </c>
      <c r="F571" s="96">
        <f>VLOOKUP(E571,CONFIGURAÇÃO!E:F,2,0)</f>
      </c>
      <c r="G571" s="147" t="s">
        <v>73</v>
      </c>
      <c r="H571" s="96">
        <f>IF(G571="CORTESIA",0,D571*F571)</f>
      </c>
      <c r="I571" s="147" t="s">
        <v>50</v>
      </c>
      <c r="J571" s="149" t="s">
        <v>184</v>
      </c>
      <c r="K571" s="147"/>
      <c r="L571" s="1"/>
      <c r="M571" s="1"/>
      <c r="N571" s="3"/>
    </row>
    <row x14ac:dyDescent="0.25" r="572" customHeight="1" ht="18.75" hidden="1">
      <c r="A572" s="67" t="s">
        <v>179</v>
      </c>
      <c r="B572" s="154" t="s">
        <v>345</v>
      </c>
      <c r="C572" s="160">
        <f>VLOOKUP(B572,CONFIGURAÇÃO!H:I,2,FALSE)</f>
      </c>
      <c r="D572" s="148">
        <v>1</v>
      </c>
      <c r="E572" s="149" t="s">
        <v>78</v>
      </c>
      <c r="F572" s="96">
        <f>VLOOKUP(E572,CONFIGURAÇÃO!E:F,2,0)</f>
      </c>
      <c r="G572" s="147" t="s">
        <v>73</v>
      </c>
      <c r="H572" s="96">
        <f>IF(G572="CORTESIA",0,D572*F572)</f>
      </c>
      <c r="I572" s="147" t="s">
        <v>50</v>
      </c>
      <c r="J572" s="149" t="s">
        <v>184</v>
      </c>
      <c r="K572" s="147"/>
      <c r="L572" s="1"/>
      <c r="M572" s="1"/>
      <c r="N572" s="3"/>
    </row>
    <row x14ac:dyDescent="0.25" r="573" customHeight="1" ht="18.75" hidden="1">
      <c r="A573" s="67">
        <v>45740</v>
      </c>
      <c r="B573" s="154" t="s">
        <v>346</v>
      </c>
      <c r="C573" s="160">
        <f>VLOOKUP(B573,CONFIGURAÇÃO!H:I,2,FALSE)</f>
      </c>
      <c r="D573" s="148">
        <v>2</v>
      </c>
      <c r="E573" s="149" t="s">
        <v>72</v>
      </c>
      <c r="F573" s="96">
        <f>VLOOKUP(E573,CONFIGURAÇÃO!E:F,2,0)</f>
      </c>
      <c r="G573" s="147" t="s">
        <v>73</v>
      </c>
      <c r="H573" s="96">
        <f>IF(G573="CORTESIA",0,D573*F573)</f>
      </c>
      <c r="I573" s="147" t="s">
        <v>50</v>
      </c>
      <c r="J573" s="149" t="s">
        <v>184</v>
      </c>
      <c r="K573" s="147"/>
      <c r="L573" s="1"/>
      <c r="M573" s="1"/>
      <c r="N573" s="3"/>
    </row>
    <row x14ac:dyDescent="0.25" r="574" customHeight="1" ht="18.75" hidden="1">
      <c r="A574" s="65" t="s">
        <v>188</v>
      </c>
      <c r="B574" s="155" t="s">
        <v>86</v>
      </c>
      <c r="C574" s="160">
        <f>VLOOKUP(B574,CONFIGURAÇÃO!H:I,2,FALSE)</f>
      </c>
      <c r="D574" s="66">
        <v>1</v>
      </c>
      <c r="E574" s="147" t="s">
        <v>78</v>
      </c>
      <c r="F574" s="96">
        <f>VLOOKUP(E574,CONFIGURAÇÃO!E:F,2,0)</f>
      </c>
      <c r="G574" s="147" t="s">
        <v>13</v>
      </c>
      <c r="H574" s="96">
        <f>IF(G574="CORTESIA",0,D574*F574)</f>
      </c>
      <c r="I574" s="147" t="s">
        <v>22</v>
      </c>
      <c r="J574" s="149" t="s">
        <v>184</v>
      </c>
      <c r="K574" s="147"/>
      <c r="L574" s="1"/>
      <c r="M574" s="1"/>
      <c r="N574" s="3"/>
    </row>
    <row x14ac:dyDescent="0.25" r="575" customHeight="1" ht="18.75" hidden="1">
      <c r="A575" s="67" t="s">
        <v>175</v>
      </c>
      <c r="B575" s="154" t="s">
        <v>347</v>
      </c>
      <c r="C575" s="160">
        <f>VLOOKUP(B575,CONFIGURAÇÃO!H:I,2,FALSE)</f>
      </c>
      <c r="D575" s="148">
        <v>1</v>
      </c>
      <c r="E575" s="149" t="s">
        <v>72</v>
      </c>
      <c r="F575" s="96">
        <f>VLOOKUP(E575,CONFIGURAÇÃO!E:F,2,0)</f>
      </c>
      <c r="G575" s="147" t="s">
        <v>73</v>
      </c>
      <c r="H575" s="96">
        <f>IF(G575="CORTESIA",0,D575*F575)</f>
      </c>
      <c r="I575" s="147" t="s">
        <v>50</v>
      </c>
      <c r="J575" s="149" t="s">
        <v>184</v>
      </c>
      <c r="K575" s="147"/>
      <c r="L575" s="1"/>
      <c r="M575" s="1"/>
      <c r="N575" s="3"/>
    </row>
    <row x14ac:dyDescent="0.25" r="576" customHeight="1" ht="18.75" hidden="1">
      <c r="A576" s="67" t="s">
        <v>188</v>
      </c>
      <c r="B576" s="154" t="s">
        <v>347</v>
      </c>
      <c r="C576" s="160">
        <f>VLOOKUP(B576,CONFIGURAÇÃO!H:I,2,FALSE)</f>
      </c>
      <c r="D576" s="148">
        <v>1</v>
      </c>
      <c r="E576" s="149" t="s">
        <v>78</v>
      </c>
      <c r="F576" s="96">
        <f>VLOOKUP(E576,CONFIGURAÇÃO!E:F,2,0)</f>
      </c>
      <c r="G576" s="147" t="s">
        <v>73</v>
      </c>
      <c r="H576" s="96">
        <f>IF(G576="CORTESIA",0,D576*F576)</f>
      </c>
      <c r="I576" s="147" t="s">
        <v>50</v>
      </c>
      <c r="J576" s="149" t="s">
        <v>184</v>
      </c>
      <c r="K576" s="147"/>
      <c r="L576" s="1"/>
      <c r="M576" s="1"/>
      <c r="N576" s="3"/>
    </row>
    <row x14ac:dyDescent="0.25" r="577" customHeight="1" ht="18.75" hidden="1">
      <c r="A577" s="67">
        <v>45748</v>
      </c>
      <c r="B577" s="154" t="s">
        <v>143</v>
      </c>
      <c r="C577" s="160">
        <f>VLOOKUP(B577,CONFIGURAÇÃO!H:I,2,FALSE)</f>
      </c>
      <c r="D577" s="148">
        <v>1</v>
      </c>
      <c r="E577" s="149" t="s">
        <v>72</v>
      </c>
      <c r="F577" s="96">
        <f>VLOOKUP(E577,CONFIGURAÇÃO!E:F,2,0)</f>
      </c>
      <c r="G577" s="147" t="s">
        <v>13</v>
      </c>
      <c r="H577" s="96">
        <f>IF(G577="CORTESIA",0,D577*F577)</f>
      </c>
      <c r="I577" s="147" t="s">
        <v>22</v>
      </c>
      <c r="J577" s="149" t="s">
        <v>184</v>
      </c>
      <c r="K577" s="147"/>
      <c r="L577" s="1"/>
      <c r="M577" s="1"/>
      <c r="N577" s="3"/>
    </row>
    <row x14ac:dyDescent="0.25" r="578" customHeight="1" ht="18.75" hidden="1">
      <c r="A578" s="65">
        <v>45733</v>
      </c>
      <c r="B578" s="155" t="s">
        <v>81</v>
      </c>
      <c r="C578" s="160">
        <f>VLOOKUP(B578,CONFIGURAÇÃO!H:I,2,FALSE)</f>
      </c>
      <c r="D578" s="66">
        <v>1</v>
      </c>
      <c r="E578" s="147" t="s">
        <v>78</v>
      </c>
      <c r="F578" s="96">
        <f>VLOOKUP(E578,CONFIGURAÇÃO!E:F,2,0)</f>
      </c>
      <c r="G578" s="147" t="s">
        <v>13</v>
      </c>
      <c r="H578" s="96">
        <f>IF(G578="CORTESIA",0,D578*F578)</f>
      </c>
      <c r="I578" s="147" t="s">
        <v>22</v>
      </c>
      <c r="J578" s="149" t="s">
        <v>184</v>
      </c>
      <c r="K578" s="147"/>
      <c r="L578" s="1"/>
      <c r="M578" s="1"/>
      <c r="N578" s="3"/>
    </row>
    <row x14ac:dyDescent="0.25" r="579" customHeight="1" ht="18.75" hidden="1">
      <c r="A579" s="67">
        <v>45749</v>
      </c>
      <c r="B579" s="154" t="s">
        <v>81</v>
      </c>
      <c r="C579" s="160">
        <f>VLOOKUP(B579,CONFIGURAÇÃO!H:I,2,FALSE)</f>
      </c>
      <c r="D579" s="148">
        <v>1</v>
      </c>
      <c r="E579" s="149" t="s">
        <v>183</v>
      </c>
      <c r="F579" s="96">
        <f>VLOOKUP(E579,CONFIGURAÇÃO!E:F,2,0)</f>
      </c>
      <c r="G579" s="147" t="s">
        <v>13</v>
      </c>
      <c r="H579" s="96">
        <f>IF(G579="CORTESIA",0,D579*F579)</f>
      </c>
      <c r="I579" s="147" t="s">
        <v>22</v>
      </c>
      <c r="J579" s="149" t="s">
        <v>184</v>
      </c>
      <c r="K579" s="147"/>
      <c r="L579" s="1"/>
      <c r="M579" s="1"/>
      <c r="N579" s="3"/>
    </row>
    <row x14ac:dyDescent="0.25" r="580" customHeight="1" ht="18.75" hidden="1">
      <c r="A580" s="67" t="s">
        <v>162</v>
      </c>
      <c r="B580" s="154" t="s">
        <v>81</v>
      </c>
      <c r="C580" s="160">
        <f>VLOOKUP(B580,CONFIGURAÇÃO!H:I,2,FALSE)</f>
      </c>
      <c r="D580" s="148">
        <v>1</v>
      </c>
      <c r="E580" s="149" t="s">
        <v>72</v>
      </c>
      <c r="F580" s="96">
        <f>VLOOKUP(E580,CONFIGURAÇÃO!E:F,2,0)</f>
      </c>
      <c r="G580" s="147" t="s">
        <v>13</v>
      </c>
      <c r="H580" s="96">
        <f>IF(G580="CORTESIA",0,D580*F580)</f>
      </c>
      <c r="I580" s="147" t="s">
        <v>22</v>
      </c>
      <c r="J580" s="149" t="s">
        <v>184</v>
      </c>
      <c r="K580" s="147"/>
      <c r="L580" s="1"/>
      <c r="M580" s="1"/>
      <c r="N580" s="3"/>
    </row>
    <row x14ac:dyDescent="0.25" r="581" customHeight="1" ht="18.75" hidden="1">
      <c r="A581" s="67">
        <v>45740</v>
      </c>
      <c r="B581" s="154" t="s">
        <v>348</v>
      </c>
      <c r="C581" s="160">
        <f>VLOOKUP(B581,CONFIGURAÇÃO!H:I,2,FALSE)</f>
      </c>
      <c r="D581" s="148">
        <v>1</v>
      </c>
      <c r="E581" s="149" t="s">
        <v>72</v>
      </c>
      <c r="F581" s="96">
        <f>VLOOKUP(E581,CONFIGURAÇÃO!E:F,2,0)</f>
      </c>
      <c r="G581" s="147" t="s">
        <v>73</v>
      </c>
      <c r="H581" s="96">
        <f>IF(G581="CORTESIA",0,D581*F581)</f>
      </c>
      <c r="I581" s="147" t="s">
        <v>50</v>
      </c>
      <c r="J581" s="149" t="s">
        <v>184</v>
      </c>
      <c r="K581" s="147"/>
      <c r="L581" s="1"/>
      <c r="M581" s="1"/>
      <c r="N581" s="3"/>
    </row>
    <row x14ac:dyDescent="0.25" r="582" customHeight="1" ht="18.75" hidden="1">
      <c r="A582" s="67" t="s">
        <v>198</v>
      </c>
      <c r="B582" s="154" t="s">
        <v>348</v>
      </c>
      <c r="C582" s="160">
        <f>VLOOKUP(B582,CONFIGURAÇÃO!H:I,2,FALSE)</f>
      </c>
      <c r="D582" s="148">
        <v>2</v>
      </c>
      <c r="E582" s="149" t="s">
        <v>183</v>
      </c>
      <c r="F582" s="96">
        <f>VLOOKUP(E582,CONFIGURAÇÃO!E:F,2,0)</f>
      </c>
      <c r="G582" s="147" t="s">
        <v>73</v>
      </c>
      <c r="H582" s="96">
        <f>IF(G582="CORTESIA",0,D582*F582)</f>
      </c>
      <c r="I582" s="147" t="s">
        <v>50</v>
      </c>
      <c r="J582" s="149" t="s">
        <v>184</v>
      </c>
      <c r="K582" s="147"/>
      <c r="L582" s="1"/>
      <c r="M582" s="1"/>
      <c r="N582" s="3"/>
    </row>
    <row x14ac:dyDescent="0.25" r="583" customHeight="1" ht="18.75" hidden="1">
      <c r="A583" s="67" t="s">
        <v>159</v>
      </c>
      <c r="B583" s="154" t="s">
        <v>348</v>
      </c>
      <c r="C583" s="160">
        <f>VLOOKUP(B583,CONFIGURAÇÃO!H:I,2,FALSE)</f>
      </c>
      <c r="D583" s="148">
        <v>1</v>
      </c>
      <c r="E583" s="149" t="s">
        <v>72</v>
      </c>
      <c r="F583" s="96">
        <f>VLOOKUP(E583,CONFIGURAÇÃO!E:F,2,0)</f>
      </c>
      <c r="G583" s="147" t="s">
        <v>73</v>
      </c>
      <c r="H583" s="96">
        <f>IF(G583="CORTESIA",0,D583*F583)</f>
      </c>
      <c r="I583" s="147" t="s">
        <v>50</v>
      </c>
      <c r="J583" s="149" t="s">
        <v>184</v>
      </c>
      <c r="K583" s="147"/>
      <c r="L583" s="1"/>
      <c r="M583" s="1"/>
      <c r="N583" s="3"/>
    </row>
    <row x14ac:dyDescent="0.25" r="584" customHeight="1" ht="18.75" hidden="1">
      <c r="A584" s="67" t="s">
        <v>159</v>
      </c>
      <c r="B584" s="154" t="s">
        <v>348</v>
      </c>
      <c r="C584" s="160">
        <f>VLOOKUP(B584,CONFIGURAÇÃO!H:I,2,FALSE)</f>
      </c>
      <c r="D584" s="148">
        <v>1</v>
      </c>
      <c r="E584" s="149" t="s">
        <v>78</v>
      </c>
      <c r="F584" s="96">
        <f>VLOOKUP(E584,CONFIGURAÇÃO!E:F,2,0)</f>
      </c>
      <c r="G584" s="147" t="s">
        <v>73</v>
      </c>
      <c r="H584" s="96">
        <f>IF(G584="CORTESIA",0,D584*F584)</f>
      </c>
      <c r="I584" s="147" t="s">
        <v>50</v>
      </c>
      <c r="J584" s="149" t="s">
        <v>184</v>
      </c>
      <c r="K584" s="147"/>
      <c r="L584" s="1"/>
      <c r="M584" s="1"/>
      <c r="N584" s="3"/>
    </row>
    <row x14ac:dyDescent="0.25" r="585" customHeight="1" ht="18.75" hidden="1">
      <c r="A585" s="67">
        <v>45750</v>
      </c>
      <c r="B585" s="154" t="s">
        <v>349</v>
      </c>
      <c r="C585" s="160">
        <f>VLOOKUP(B585,CONFIGURAÇÃO!H:I,2,FALSE)</f>
      </c>
      <c r="D585" s="148">
        <v>1</v>
      </c>
      <c r="E585" s="149" t="s">
        <v>78</v>
      </c>
      <c r="F585" s="96">
        <f>VLOOKUP(E585,CONFIGURAÇÃO!E:F,2,0)</f>
      </c>
      <c r="G585" s="147" t="s">
        <v>13</v>
      </c>
      <c r="H585" s="96">
        <f>IF(G585="CORTESIA",0,D585*F585)</f>
      </c>
      <c r="I585" s="147" t="s">
        <v>19</v>
      </c>
      <c r="J585" s="149" t="s">
        <v>184</v>
      </c>
      <c r="K585" s="147"/>
      <c r="L585" s="1"/>
      <c r="M585" s="1"/>
      <c r="N585" s="3"/>
    </row>
    <row x14ac:dyDescent="0.25" r="586" customHeight="1" ht="18.75" hidden="1">
      <c r="A586" s="67">
        <v>45749</v>
      </c>
      <c r="B586" s="154" t="s">
        <v>350</v>
      </c>
      <c r="C586" s="160">
        <f>VLOOKUP(B586,CONFIGURAÇÃO!H:I,2,FALSE)</f>
      </c>
      <c r="D586" s="148">
        <v>1</v>
      </c>
      <c r="E586" s="149" t="s">
        <v>183</v>
      </c>
      <c r="F586" s="96">
        <f>VLOOKUP(E586,CONFIGURAÇÃO!E:F,2,0)</f>
      </c>
      <c r="G586" s="147" t="s">
        <v>13</v>
      </c>
      <c r="H586" s="96">
        <f>IF(G586="CORTESIA",0,D586*F586)</f>
      </c>
      <c r="I586" s="147" t="s">
        <v>22</v>
      </c>
      <c r="J586" s="149" t="s">
        <v>184</v>
      </c>
      <c r="K586" s="147"/>
      <c r="L586" s="1"/>
      <c r="M586" s="1"/>
      <c r="N586" s="3"/>
    </row>
    <row x14ac:dyDescent="0.25" r="587" customHeight="1" ht="18.75" hidden="1">
      <c r="A587" s="65" t="s">
        <v>159</v>
      </c>
      <c r="B587" s="155" t="s">
        <v>351</v>
      </c>
      <c r="C587" s="160">
        <f>VLOOKUP(B587,CONFIGURAÇÃO!H:I,2,FALSE)</f>
      </c>
      <c r="D587" s="66">
        <v>1</v>
      </c>
      <c r="E587" s="147" t="s">
        <v>72</v>
      </c>
      <c r="F587" s="96">
        <f>VLOOKUP(E587,CONFIGURAÇÃO!E:F,2,0)</f>
      </c>
      <c r="G587" s="147" t="s">
        <v>13</v>
      </c>
      <c r="H587" s="96">
        <f>IF(G587="CORTESIA",0,D587*F587)</f>
      </c>
      <c r="I587" s="147" t="s">
        <v>22</v>
      </c>
      <c r="J587" s="149" t="s">
        <v>184</v>
      </c>
      <c r="K587" s="147"/>
      <c r="L587" s="1"/>
      <c r="M587" s="1"/>
      <c r="N587" s="3"/>
    </row>
    <row x14ac:dyDescent="0.25" r="588" customHeight="1" ht="18.75" hidden="1">
      <c r="A588" s="65" t="s">
        <v>164</v>
      </c>
      <c r="B588" s="155" t="s">
        <v>352</v>
      </c>
      <c r="C588" s="160">
        <f>VLOOKUP(B588,CONFIGURAÇÃO!H:I,2,FALSE)</f>
      </c>
      <c r="D588" s="66">
        <v>1</v>
      </c>
      <c r="E588" s="147" t="s">
        <v>183</v>
      </c>
      <c r="F588" s="96">
        <f>VLOOKUP(E588,CONFIGURAÇÃO!E:F,2,0)</f>
      </c>
      <c r="G588" s="147" t="s">
        <v>13</v>
      </c>
      <c r="H588" s="96">
        <f>IF(G588="CORTESIA",0,D588*F588)</f>
      </c>
      <c r="I588" s="147" t="s">
        <v>50</v>
      </c>
      <c r="J588" s="149" t="s">
        <v>184</v>
      </c>
      <c r="K588" s="147"/>
      <c r="L588" s="1"/>
      <c r="M588" s="1"/>
      <c r="N588" s="3"/>
    </row>
    <row x14ac:dyDescent="0.25" r="589" customHeight="1" ht="18.75" hidden="1">
      <c r="A589" s="67">
        <v>45740</v>
      </c>
      <c r="B589" s="154" t="s">
        <v>353</v>
      </c>
      <c r="C589" s="160">
        <f>VLOOKUP(B589,CONFIGURAÇÃO!H:I,2,FALSE)</f>
      </c>
      <c r="D589" s="148">
        <v>1</v>
      </c>
      <c r="E589" s="149" t="s">
        <v>72</v>
      </c>
      <c r="F589" s="96">
        <f>VLOOKUP(E589,CONFIGURAÇÃO!E:F,2,0)</f>
      </c>
      <c r="G589" s="147" t="s">
        <v>73</v>
      </c>
      <c r="H589" s="96">
        <f>IF(G589="CORTESIA",0,D589*F589)</f>
      </c>
      <c r="I589" s="147" t="s">
        <v>50</v>
      </c>
      <c r="J589" s="149" t="s">
        <v>184</v>
      </c>
      <c r="K589" s="147"/>
      <c r="L589" s="1"/>
      <c r="M589" s="1"/>
      <c r="N589" s="3"/>
    </row>
    <row x14ac:dyDescent="0.25" r="590" customHeight="1" ht="18.75" hidden="1">
      <c r="A590" s="67" t="s">
        <v>175</v>
      </c>
      <c r="B590" s="154" t="s">
        <v>354</v>
      </c>
      <c r="C590" s="160">
        <f>VLOOKUP(B590,CONFIGURAÇÃO!H:I,2,FALSE)</f>
      </c>
      <c r="D590" s="148">
        <v>1</v>
      </c>
      <c r="E590" s="149" t="s">
        <v>72</v>
      </c>
      <c r="F590" s="96">
        <f>VLOOKUP(E590,CONFIGURAÇÃO!E:F,2,0)</f>
      </c>
      <c r="G590" s="147" t="s">
        <v>13</v>
      </c>
      <c r="H590" s="96">
        <f>IF(G590="CORTESIA",0,D590*F590)</f>
      </c>
      <c r="I590" s="147" t="s">
        <v>50</v>
      </c>
      <c r="J590" s="149" t="s">
        <v>184</v>
      </c>
      <c r="K590" s="147"/>
      <c r="L590" s="1"/>
      <c r="M590" s="1"/>
      <c r="N590" s="3"/>
    </row>
    <row x14ac:dyDescent="0.25" r="591" customHeight="1" ht="18.75" hidden="1">
      <c r="A591" s="65" t="s">
        <v>172</v>
      </c>
      <c r="B591" s="155" t="s">
        <v>355</v>
      </c>
      <c r="C591" s="160">
        <f>VLOOKUP(B591,CONFIGURAÇÃO!H:I,2,FALSE)</f>
      </c>
      <c r="D591" s="66">
        <v>1</v>
      </c>
      <c r="E591" s="147" t="s">
        <v>183</v>
      </c>
      <c r="F591" s="96">
        <f>VLOOKUP(E591,CONFIGURAÇÃO!E:F,2,0)</f>
      </c>
      <c r="G591" s="147" t="s">
        <v>13</v>
      </c>
      <c r="H591" s="96">
        <f>IF(G591="CORTESIA",0,D591*F591)</f>
      </c>
      <c r="I591" s="147" t="s">
        <v>22</v>
      </c>
      <c r="J591" s="149" t="s">
        <v>184</v>
      </c>
      <c r="K591" s="147"/>
      <c r="L591" s="1"/>
      <c r="M591" s="1"/>
      <c r="N591" s="3"/>
    </row>
    <row x14ac:dyDescent="0.25" r="592" customHeight="1" ht="18.75" hidden="1">
      <c r="A592" s="67">
        <v>45748</v>
      </c>
      <c r="B592" s="154" t="s">
        <v>120</v>
      </c>
      <c r="C592" s="160">
        <f>VLOOKUP(B592,CONFIGURAÇÃO!H:I,2,FALSE)</f>
      </c>
      <c r="D592" s="148">
        <v>1</v>
      </c>
      <c r="E592" s="149" t="s">
        <v>72</v>
      </c>
      <c r="F592" s="96">
        <f>VLOOKUP(E592,CONFIGURAÇÃO!E:F,2,0)</f>
      </c>
      <c r="G592" s="147" t="s">
        <v>13</v>
      </c>
      <c r="H592" s="96">
        <f>IF(G592="CORTESIA",0,D592*F592)</f>
      </c>
      <c r="I592" s="147" t="s">
        <v>22</v>
      </c>
      <c r="J592" s="149" t="s">
        <v>184</v>
      </c>
      <c r="K592" s="147"/>
      <c r="L592" s="1"/>
      <c r="M592" s="1"/>
      <c r="N592" s="3"/>
    </row>
    <row x14ac:dyDescent="0.25" r="593" customHeight="1" ht="18.75" hidden="1">
      <c r="A593" s="67" t="s">
        <v>164</v>
      </c>
      <c r="B593" s="154" t="s">
        <v>120</v>
      </c>
      <c r="C593" s="160">
        <f>VLOOKUP(B593,CONFIGURAÇÃO!H:I,2,FALSE)</f>
      </c>
      <c r="D593" s="148">
        <v>1</v>
      </c>
      <c r="E593" s="149" t="s">
        <v>183</v>
      </c>
      <c r="F593" s="96">
        <f>VLOOKUP(E593,CONFIGURAÇÃO!E:F,2,0)</f>
      </c>
      <c r="G593" s="147" t="s">
        <v>13</v>
      </c>
      <c r="H593" s="96">
        <f>IF(G593="CORTESIA",0,D593*F593)</f>
      </c>
      <c r="I593" s="147" t="s">
        <v>22</v>
      </c>
      <c r="J593" s="149" t="s">
        <v>184</v>
      </c>
      <c r="K593" s="147"/>
      <c r="L593" s="1"/>
      <c r="M593" s="1"/>
      <c r="N593" s="3"/>
    </row>
    <row x14ac:dyDescent="0.25" r="594" customHeight="1" ht="18.75" hidden="1">
      <c r="A594" s="67" t="s">
        <v>179</v>
      </c>
      <c r="B594" s="154" t="s">
        <v>356</v>
      </c>
      <c r="C594" s="160">
        <f>VLOOKUP(B594,CONFIGURAÇÃO!H:I,2,FALSE)</f>
      </c>
      <c r="D594" s="148">
        <v>1</v>
      </c>
      <c r="E594" s="149" t="s">
        <v>78</v>
      </c>
      <c r="F594" s="96">
        <f>VLOOKUP(E594,CONFIGURAÇÃO!E:F,2,0)</f>
      </c>
      <c r="G594" s="147" t="s">
        <v>73</v>
      </c>
      <c r="H594" s="96">
        <f>IF(G594="CORTESIA",0,D594*F594)</f>
      </c>
      <c r="I594" s="147" t="s">
        <v>50</v>
      </c>
      <c r="J594" s="149" t="s">
        <v>184</v>
      </c>
      <c r="K594" s="147"/>
      <c r="L594" s="1"/>
      <c r="M594" s="1"/>
      <c r="N594" s="3"/>
    </row>
    <row x14ac:dyDescent="0.25" r="595" customHeight="1" ht="18.75" hidden="1">
      <c r="A595" s="65" t="s">
        <v>177</v>
      </c>
      <c r="B595" s="155" t="s">
        <v>357</v>
      </c>
      <c r="C595" s="160">
        <f>VLOOKUP(B595,CONFIGURAÇÃO!H:I,2,FALSE)</f>
      </c>
      <c r="D595" s="66">
        <v>1</v>
      </c>
      <c r="E595" s="147" t="s">
        <v>78</v>
      </c>
      <c r="F595" s="96">
        <f>VLOOKUP(E595,CONFIGURAÇÃO!E:F,2,0)</f>
      </c>
      <c r="G595" s="147" t="s">
        <v>52</v>
      </c>
      <c r="H595" s="96">
        <f>IF(G595="CORTESIA",0,D595*F595)</f>
      </c>
      <c r="I595" s="147" t="s">
        <v>19</v>
      </c>
      <c r="J595" s="149" t="s">
        <v>184</v>
      </c>
      <c r="K595" s="147"/>
      <c r="L595" s="1"/>
      <c r="M595" s="1"/>
      <c r="N595" s="3"/>
    </row>
    <row x14ac:dyDescent="0.25" r="596" customHeight="1" ht="18.75" hidden="1">
      <c r="A596" s="67" t="s">
        <v>159</v>
      </c>
      <c r="B596" s="154" t="s">
        <v>357</v>
      </c>
      <c r="C596" s="160">
        <f>VLOOKUP(B596,CONFIGURAÇÃO!H:I,2,FALSE)</f>
      </c>
      <c r="D596" s="148">
        <v>1</v>
      </c>
      <c r="E596" s="149" t="s">
        <v>78</v>
      </c>
      <c r="F596" s="96">
        <f>VLOOKUP(E596,CONFIGURAÇÃO!E:F,2,0)</f>
      </c>
      <c r="G596" s="147" t="s">
        <v>13</v>
      </c>
      <c r="H596" s="96">
        <f>IF(G596="CORTESIA",0,D596*F596)</f>
      </c>
      <c r="I596" s="147" t="s">
        <v>50</v>
      </c>
      <c r="J596" s="149" t="s">
        <v>184</v>
      </c>
      <c r="K596" s="147"/>
      <c r="L596" s="1"/>
      <c r="M596" s="1"/>
      <c r="N596" s="3"/>
    </row>
    <row x14ac:dyDescent="0.25" r="597" customHeight="1" ht="18.75" hidden="1">
      <c r="A597" s="67" t="s">
        <v>160</v>
      </c>
      <c r="B597" s="154" t="s">
        <v>357</v>
      </c>
      <c r="C597" s="160">
        <f>VLOOKUP(B597,CONFIGURAÇÃO!H:I,2,FALSE)</f>
      </c>
      <c r="D597" s="148">
        <v>1</v>
      </c>
      <c r="E597" s="149" t="s">
        <v>183</v>
      </c>
      <c r="F597" s="96">
        <f>VLOOKUP(E597,CONFIGURAÇÃO!E:F,2,0)</f>
      </c>
      <c r="G597" s="147" t="s">
        <v>13</v>
      </c>
      <c r="H597" s="96">
        <f>IF(G597="CORTESIA",0,D597*F597)</f>
      </c>
      <c r="I597" s="147" t="s">
        <v>50</v>
      </c>
      <c r="J597" s="149" t="s">
        <v>184</v>
      </c>
      <c r="K597" s="147"/>
      <c r="L597" s="1"/>
      <c r="M597" s="1"/>
      <c r="N597" s="3"/>
    </row>
    <row x14ac:dyDescent="0.25" r="598" customHeight="1" ht="18.75" hidden="1">
      <c r="A598" s="65" t="s">
        <v>162</v>
      </c>
      <c r="B598" s="155" t="s">
        <v>357</v>
      </c>
      <c r="C598" s="160">
        <f>VLOOKUP(B598,CONFIGURAÇÃO!H:I,2,FALSE)</f>
      </c>
      <c r="D598" s="66">
        <v>1</v>
      </c>
      <c r="E598" s="147" t="s">
        <v>78</v>
      </c>
      <c r="F598" s="96">
        <f>VLOOKUP(E598,CONFIGURAÇÃO!E:F,2,0)</f>
      </c>
      <c r="G598" s="147" t="s">
        <v>13</v>
      </c>
      <c r="H598" s="96">
        <f>IF(G598="CORTESIA",0,D598*F598)</f>
      </c>
      <c r="I598" s="147" t="s">
        <v>50</v>
      </c>
      <c r="J598" s="149" t="s">
        <v>184</v>
      </c>
      <c r="K598" s="147"/>
      <c r="L598" s="1"/>
      <c r="M598" s="1"/>
      <c r="N598" s="3"/>
    </row>
    <row x14ac:dyDescent="0.25" r="599" customHeight="1" ht="18.75" hidden="1">
      <c r="A599" s="67" t="s">
        <v>164</v>
      </c>
      <c r="B599" s="154" t="s">
        <v>357</v>
      </c>
      <c r="C599" s="160">
        <f>VLOOKUP(B599,CONFIGURAÇÃO!H:I,2,FALSE)</f>
      </c>
      <c r="D599" s="148">
        <v>2</v>
      </c>
      <c r="E599" s="149" t="s">
        <v>78</v>
      </c>
      <c r="F599" s="96">
        <f>VLOOKUP(E599,CONFIGURAÇÃO!E:F,2,0)</f>
      </c>
      <c r="G599" s="147" t="s">
        <v>13</v>
      </c>
      <c r="H599" s="96">
        <f>IF(G599="CORTESIA",0,D599*F599)</f>
      </c>
      <c r="I599" s="147" t="s">
        <v>19</v>
      </c>
      <c r="J599" s="149" t="s">
        <v>184</v>
      </c>
      <c r="K599" s="147"/>
      <c r="L599" s="1"/>
      <c r="M599" s="1"/>
      <c r="N599" s="3"/>
    </row>
    <row x14ac:dyDescent="0.25" r="600" customHeight="1" ht="18.75" hidden="1">
      <c r="A600" s="67" t="s">
        <v>178</v>
      </c>
      <c r="B600" s="154" t="s">
        <v>358</v>
      </c>
      <c r="C600" s="160">
        <f>VLOOKUP(B600,CONFIGURAÇÃO!H:I,2,FALSE)</f>
      </c>
      <c r="D600" s="148">
        <v>1</v>
      </c>
      <c r="E600" s="149" t="s">
        <v>72</v>
      </c>
      <c r="F600" s="96">
        <f>VLOOKUP(E600,CONFIGURAÇÃO!E:F,2,0)</f>
      </c>
      <c r="G600" s="147" t="s">
        <v>73</v>
      </c>
      <c r="H600" s="96">
        <f>IF(G600="CORTESIA",0,D600*F600)</f>
      </c>
      <c r="I600" s="147" t="s">
        <v>50</v>
      </c>
      <c r="J600" s="149" t="s">
        <v>184</v>
      </c>
      <c r="K600" s="147"/>
      <c r="L600" s="1"/>
      <c r="M600" s="1"/>
      <c r="N600" s="3"/>
    </row>
    <row x14ac:dyDescent="0.25" r="601" customHeight="1" ht="18.75" hidden="1">
      <c r="A601" s="65" t="s">
        <v>162</v>
      </c>
      <c r="B601" s="155" t="s">
        <v>359</v>
      </c>
      <c r="C601" s="160">
        <f>VLOOKUP(B601,CONFIGURAÇÃO!H:I,2,FALSE)</f>
      </c>
      <c r="D601" s="66">
        <v>1</v>
      </c>
      <c r="E601" s="147" t="s">
        <v>78</v>
      </c>
      <c r="F601" s="96">
        <f>VLOOKUP(E601,CONFIGURAÇÃO!E:F,2,0)</f>
      </c>
      <c r="G601" s="147" t="s">
        <v>73</v>
      </c>
      <c r="H601" s="96">
        <f>IF(G601="CORTESIA",0,D601*F601)</f>
      </c>
      <c r="I601" s="147" t="s">
        <v>50</v>
      </c>
      <c r="J601" s="149" t="s">
        <v>184</v>
      </c>
      <c r="K601" s="147"/>
      <c r="L601" s="1"/>
      <c r="M601" s="1"/>
      <c r="N601" s="3"/>
    </row>
    <row x14ac:dyDescent="0.25" r="602" customHeight="1" ht="18.75" hidden="1">
      <c r="A602" s="65" t="s">
        <v>164</v>
      </c>
      <c r="B602" s="155" t="s">
        <v>359</v>
      </c>
      <c r="C602" s="160">
        <f>VLOOKUP(B602,CONFIGURAÇÃO!H:I,2,FALSE)</f>
      </c>
      <c r="D602" s="66">
        <v>1</v>
      </c>
      <c r="E602" s="147" t="s">
        <v>78</v>
      </c>
      <c r="F602" s="96">
        <f>VLOOKUP(E602,CONFIGURAÇÃO!E:F,2,0)</f>
      </c>
      <c r="G602" s="147" t="s">
        <v>73</v>
      </c>
      <c r="H602" s="96">
        <f>IF(G602="CORTESIA",0,D602*F602)</f>
      </c>
      <c r="I602" s="147" t="s">
        <v>50</v>
      </c>
      <c r="J602" s="147"/>
      <c r="K602" s="147"/>
      <c r="L602" s="1"/>
      <c r="M602" s="1"/>
      <c r="N602" s="3"/>
    </row>
    <row x14ac:dyDescent="0.25" r="603" customHeight="1" ht="18.75" hidden="1">
      <c r="A603" s="64">
        <v>45695</v>
      </c>
      <c r="B603" s="155" t="s">
        <v>71</v>
      </c>
      <c r="C603" s="160">
        <f>VLOOKUP(B603,CONFIGURAÇÃO!H:I,2,FALSE)</f>
      </c>
      <c r="D603" s="66">
        <v>3</v>
      </c>
      <c r="E603" s="147" t="s">
        <v>78</v>
      </c>
      <c r="F603" s="96">
        <f>VLOOKUP(E603,CONFIGURAÇÃO!E:F,2,0)</f>
      </c>
      <c r="G603" s="147" t="s">
        <v>13</v>
      </c>
      <c r="H603" s="96">
        <f>IF(G603="CORTESIA",0,D603*F603)</f>
      </c>
      <c r="I603" s="147" t="s">
        <v>22</v>
      </c>
      <c r="J603" s="149" t="s">
        <v>184</v>
      </c>
      <c r="K603" s="147"/>
      <c r="L603" s="1"/>
      <c r="M603" s="1"/>
      <c r="N603" s="3"/>
    </row>
    <row x14ac:dyDescent="0.25" r="604" customHeight="1" ht="18.75" hidden="1">
      <c r="A604" s="65">
        <v>45698</v>
      </c>
      <c r="B604" s="155" t="s">
        <v>71</v>
      </c>
      <c r="C604" s="160">
        <f>VLOOKUP(B604,CONFIGURAÇÃO!H:I,2,FALSE)</f>
      </c>
      <c r="D604" s="66">
        <v>2</v>
      </c>
      <c r="E604" s="147" t="s">
        <v>78</v>
      </c>
      <c r="F604" s="96">
        <f>VLOOKUP(E604,CONFIGURAÇÃO!E:F,2,0)</f>
      </c>
      <c r="G604" s="147" t="s">
        <v>13</v>
      </c>
      <c r="H604" s="96">
        <f>IF(G604="CORTESIA",0,D604*F604)</f>
      </c>
      <c r="I604" s="147" t="s">
        <v>22</v>
      </c>
      <c r="J604" s="149" t="s">
        <v>184</v>
      </c>
      <c r="K604" s="147"/>
      <c r="L604" s="1"/>
      <c r="M604" s="1"/>
      <c r="N604" s="3"/>
    </row>
    <row x14ac:dyDescent="0.25" r="605" customHeight="1" ht="18.75" hidden="1">
      <c r="A605" s="65">
        <v>45700</v>
      </c>
      <c r="B605" s="155" t="s">
        <v>71</v>
      </c>
      <c r="C605" s="160">
        <f>VLOOKUP(B605,CONFIGURAÇÃO!H:I,2,FALSE)</f>
      </c>
      <c r="D605" s="66">
        <v>2</v>
      </c>
      <c r="E605" s="147" t="s">
        <v>171</v>
      </c>
      <c r="F605" s="96">
        <f>VLOOKUP(E605,CONFIGURAÇÃO!E:F,2,0)</f>
      </c>
      <c r="G605" s="147" t="s">
        <v>13</v>
      </c>
      <c r="H605" s="96">
        <f>IF(G605="CORTESIA",0,D605*F605)</f>
      </c>
      <c r="I605" s="147" t="s">
        <v>22</v>
      </c>
      <c r="J605" s="149" t="s">
        <v>184</v>
      </c>
      <c r="K605" s="147"/>
      <c r="L605" s="1"/>
      <c r="M605" s="1"/>
      <c r="N605" s="3"/>
    </row>
    <row x14ac:dyDescent="0.25" r="606" customHeight="1" ht="18.75" hidden="1">
      <c r="A606" s="67">
        <v>45748</v>
      </c>
      <c r="B606" s="154" t="s">
        <v>71</v>
      </c>
      <c r="C606" s="160">
        <f>VLOOKUP(B606,CONFIGURAÇÃO!H:I,2,FALSE)</f>
      </c>
      <c r="D606" s="148">
        <v>1</v>
      </c>
      <c r="E606" s="149" t="s">
        <v>72</v>
      </c>
      <c r="F606" s="96">
        <f>VLOOKUP(E606,CONFIGURAÇÃO!E:F,2,0)</f>
      </c>
      <c r="G606" s="147" t="s">
        <v>291</v>
      </c>
      <c r="H606" s="96">
        <f>IF(G606="CORTESIA",0,D606*F606)</f>
      </c>
      <c r="I606" s="147" t="s">
        <v>22</v>
      </c>
      <c r="J606" s="149" t="s">
        <v>184</v>
      </c>
      <c r="K606" s="147"/>
      <c r="L606" s="1"/>
      <c r="M606" s="1"/>
      <c r="N606" s="3"/>
    </row>
    <row x14ac:dyDescent="0.25" r="607" customHeight="1" ht="18.75" hidden="1">
      <c r="A607" s="65" t="s">
        <v>159</v>
      </c>
      <c r="B607" s="155" t="s">
        <v>71</v>
      </c>
      <c r="C607" s="160">
        <f>VLOOKUP(B607,CONFIGURAÇÃO!H:I,2,FALSE)</f>
      </c>
      <c r="D607" s="66">
        <v>2</v>
      </c>
      <c r="E607" s="147" t="s">
        <v>78</v>
      </c>
      <c r="F607" s="96">
        <f>VLOOKUP(E607,CONFIGURAÇÃO!E:F,2,0)</f>
      </c>
      <c r="G607" s="147" t="s">
        <v>291</v>
      </c>
      <c r="H607" s="96">
        <f>IF(G607="CORTESIA",0,D607*F607)</f>
      </c>
      <c r="I607" s="147" t="s">
        <v>22</v>
      </c>
      <c r="J607" s="149" t="s">
        <v>184</v>
      </c>
      <c r="K607" s="147"/>
      <c r="L607" s="1"/>
      <c r="M607" s="1"/>
      <c r="N607" s="3"/>
    </row>
    <row x14ac:dyDescent="0.25" r="608" customHeight="1" ht="18.75" hidden="1">
      <c r="A608" s="65" t="s">
        <v>160</v>
      </c>
      <c r="B608" s="155" t="s">
        <v>71</v>
      </c>
      <c r="C608" s="160">
        <f>VLOOKUP(B608,CONFIGURAÇÃO!H:I,2,FALSE)</f>
      </c>
      <c r="D608" s="66">
        <v>2</v>
      </c>
      <c r="E608" s="147" t="s">
        <v>183</v>
      </c>
      <c r="F608" s="96">
        <f>VLOOKUP(E608,CONFIGURAÇÃO!E:F,2,0)</f>
      </c>
      <c r="G608" s="147" t="s">
        <v>291</v>
      </c>
      <c r="H608" s="96">
        <f>IF(G608="CORTESIA",0,D608*F608)</f>
      </c>
      <c r="I608" s="147" t="s">
        <v>22</v>
      </c>
      <c r="J608" s="149" t="s">
        <v>184</v>
      </c>
      <c r="K608" s="147"/>
      <c r="L608" s="1"/>
      <c r="M608" s="1"/>
      <c r="N608" s="3"/>
    </row>
    <row x14ac:dyDescent="0.25" r="609" customHeight="1" ht="18.75" hidden="1">
      <c r="A609" s="67" t="s">
        <v>161</v>
      </c>
      <c r="B609" s="154" t="s">
        <v>71</v>
      </c>
      <c r="C609" s="160">
        <f>VLOOKUP(B609,CONFIGURAÇÃO!H:I,2,FALSE)</f>
      </c>
      <c r="D609" s="148">
        <v>2</v>
      </c>
      <c r="E609" s="149" t="s">
        <v>183</v>
      </c>
      <c r="F609" s="96">
        <f>VLOOKUP(E609,CONFIGURAÇÃO!E:F,2,0)</f>
      </c>
      <c r="G609" s="147" t="s">
        <v>291</v>
      </c>
      <c r="H609" s="96">
        <f>IF(G609="CORTESIA",0,D609*F609)</f>
      </c>
      <c r="I609" s="147" t="s">
        <v>22</v>
      </c>
      <c r="J609" s="149" t="s">
        <v>184</v>
      </c>
      <c r="K609" s="147"/>
      <c r="L609" s="1"/>
      <c r="M609" s="1"/>
      <c r="N609" s="3"/>
    </row>
    <row x14ac:dyDescent="0.25" r="610" customHeight="1" ht="18.75" hidden="1">
      <c r="A610" s="67" t="s">
        <v>162</v>
      </c>
      <c r="B610" s="154" t="s">
        <v>71</v>
      </c>
      <c r="C610" s="160">
        <f>VLOOKUP(B610,CONFIGURAÇÃO!H:I,2,FALSE)</f>
      </c>
      <c r="D610" s="148">
        <v>1</v>
      </c>
      <c r="E610" s="149" t="s">
        <v>78</v>
      </c>
      <c r="F610" s="96">
        <f>VLOOKUP(E610,CONFIGURAÇÃO!E:F,2,0)</f>
      </c>
      <c r="G610" s="147" t="s">
        <v>291</v>
      </c>
      <c r="H610" s="96">
        <f>IF(G610="CORTESIA",0,D610*F610)</f>
      </c>
      <c r="I610" s="147" t="s">
        <v>22</v>
      </c>
      <c r="J610" s="149" t="s">
        <v>184</v>
      </c>
      <c r="K610" s="147"/>
      <c r="L610" s="1"/>
      <c r="M610" s="1"/>
      <c r="N610" s="3"/>
    </row>
    <row x14ac:dyDescent="0.25" r="611" customHeight="1" ht="18.75" hidden="1">
      <c r="A611" s="67" t="s">
        <v>162</v>
      </c>
      <c r="B611" s="154" t="s">
        <v>71</v>
      </c>
      <c r="C611" s="160">
        <f>VLOOKUP(B611,CONFIGURAÇÃO!H:I,2,FALSE)</f>
      </c>
      <c r="D611" s="148">
        <v>1</v>
      </c>
      <c r="E611" s="149" t="s">
        <v>72</v>
      </c>
      <c r="F611" s="96">
        <f>VLOOKUP(E611,CONFIGURAÇÃO!E:F,2,0)</f>
      </c>
      <c r="G611" s="147" t="s">
        <v>291</v>
      </c>
      <c r="H611" s="96">
        <f>IF(G611="CORTESIA",0,D611*F611)</f>
      </c>
      <c r="I611" s="147" t="s">
        <v>22</v>
      </c>
      <c r="J611" s="149" t="s">
        <v>184</v>
      </c>
      <c r="K611" s="147"/>
      <c r="L611" s="1"/>
      <c r="M611" s="1"/>
      <c r="N611" s="3"/>
    </row>
    <row x14ac:dyDescent="0.25" r="612" customHeight="1" ht="18.75" hidden="1">
      <c r="A612" s="67" t="s">
        <v>163</v>
      </c>
      <c r="B612" s="154" t="s">
        <v>71</v>
      </c>
      <c r="C612" s="160">
        <f>VLOOKUP(B612,CONFIGURAÇÃO!H:I,2,FALSE)</f>
      </c>
      <c r="D612" s="148">
        <v>2</v>
      </c>
      <c r="E612" s="149" t="s">
        <v>183</v>
      </c>
      <c r="F612" s="96">
        <f>VLOOKUP(E612,CONFIGURAÇÃO!E:F,2,0)</f>
      </c>
      <c r="G612" s="147" t="s">
        <v>291</v>
      </c>
      <c r="H612" s="96">
        <f>IF(G612="CORTESIA",0,D612*F612)</f>
      </c>
      <c r="I612" s="147" t="s">
        <v>22</v>
      </c>
      <c r="J612" s="149" t="s">
        <v>184</v>
      </c>
      <c r="K612" s="147"/>
      <c r="L612" s="1"/>
      <c r="M612" s="1"/>
      <c r="N612" s="3"/>
    </row>
    <row x14ac:dyDescent="0.25" r="613" customHeight="1" ht="18.75" hidden="1">
      <c r="A613" s="67" t="s">
        <v>164</v>
      </c>
      <c r="B613" s="154" t="s">
        <v>71</v>
      </c>
      <c r="C613" s="160">
        <f>VLOOKUP(B613,CONFIGURAÇÃO!H:I,2,FALSE)</f>
      </c>
      <c r="D613" s="148">
        <v>2</v>
      </c>
      <c r="E613" s="149" t="s">
        <v>183</v>
      </c>
      <c r="F613" s="96">
        <f>VLOOKUP(E613,CONFIGURAÇÃO!E:F,2,0)</f>
      </c>
      <c r="G613" s="147" t="s">
        <v>291</v>
      </c>
      <c r="H613" s="96">
        <f>IF(G613="CORTESIA",0,D613*F613)</f>
      </c>
      <c r="I613" s="147" t="s">
        <v>22</v>
      </c>
      <c r="J613" s="149" t="s">
        <v>74</v>
      </c>
      <c r="K613" s="147"/>
      <c r="L613" s="1"/>
      <c r="M613" s="1"/>
      <c r="N613" s="3"/>
    </row>
    <row x14ac:dyDescent="0.25" r="614" customHeight="1" ht="18.75" hidden="1">
      <c r="A614" s="67">
        <v>45748</v>
      </c>
      <c r="B614" s="154" t="s">
        <v>360</v>
      </c>
      <c r="C614" s="160">
        <f>VLOOKUP(B614,CONFIGURAÇÃO!H:I,2,FALSE)</f>
      </c>
      <c r="D614" s="148">
        <v>1</v>
      </c>
      <c r="E614" s="149" t="s">
        <v>72</v>
      </c>
      <c r="F614" s="96">
        <f>VLOOKUP(E614,CONFIGURAÇÃO!E:F,2,0)</f>
      </c>
      <c r="G614" s="147" t="s">
        <v>13</v>
      </c>
      <c r="H614" s="96">
        <f>IF(G614="CORTESIA",0,D614*F614)</f>
      </c>
      <c r="I614" s="147" t="s">
        <v>22</v>
      </c>
      <c r="J614" s="149" t="s">
        <v>184</v>
      </c>
      <c r="K614" s="147"/>
      <c r="L614" s="1"/>
      <c r="M614" s="1"/>
      <c r="N614" s="3"/>
    </row>
    <row x14ac:dyDescent="0.25" r="615" customHeight="1" ht="18.75" hidden="1">
      <c r="A615" s="65" t="s">
        <v>172</v>
      </c>
      <c r="B615" s="155" t="s">
        <v>360</v>
      </c>
      <c r="C615" s="160">
        <f>VLOOKUP(B615,CONFIGURAÇÃO!H:I,2,FALSE)</f>
      </c>
      <c r="D615" s="66">
        <v>1</v>
      </c>
      <c r="E615" s="147" t="s">
        <v>183</v>
      </c>
      <c r="F615" s="96">
        <f>VLOOKUP(E615,CONFIGURAÇÃO!E:F,2,0)</f>
      </c>
      <c r="G615" s="147" t="s">
        <v>13</v>
      </c>
      <c r="H615" s="96">
        <f>IF(G615="CORTESIA",0,D615*F615)</f>
      </c>
      <c r="I615" s="147" t="s">
        <v>22</v>
      </c>
      <c r="J615" s="149" t="s">
        <v>184</v>
      </c>
      <c r="K615" s="147"/>
      <c r="L615" s="1"/>
      <c r="M615" s="1"/>
      <c r="N615" s="3"/>
    </row>
    <row x14ac:dyDescent="0.25" r="616" customHeight="1" ht="18.75" hidden="1">
      <c r="A616" s="65" t="s">
        <v>160</v>
      </c>
      <c r="B616" s="155" t="s">
        <v>360</v>
      </c>
      <c r="C616" s="160">
        <f>VLOOKUP(B616,CONFIGURAÇÃO!H:I,2,FALSE)</f>
      </c>
      <c r="D616" s="66">
        <v>1</v>
      </c>
      <c r="E616" s="147" t="s">
        <v>72</v>
      </c>
      <c r="F616" s="96">
        <f>VLOOKUP(E616,CONFIGURAÇÃO!E:F,2,0)</f>
      </c>
      <c r="G616" s="147" t="s">
        <v>52</v>
      </c>
      <c r="H616" s="96">
        <f>IF(G616="CORTESIA",0,D616*F616)</f>
      </c>
      <c r="I616" s="147" t="s">
        <v>22</v>
      </c>
      <c r="J616" s="149" t="s">
        <v>184</v>
      </c>
      <c r="K616" s="147"/>
      <c r="L616" s="1"/>
      <c r="M616" s="1"/>
      <c r="N616" s="3"/>
    </row>
    <row x14ac:dyDescent="0.25" r="617" customHeight="1" ht="18.75" hidden="1">
      <c r="A617" s="67" t="s">
        <v>178</v>
      </c>
      <c r="B617" s="154" t="s">
        <v>361</v>
      </c>
      <c r="C617" s="160">
        <f>VLOOKUP(B617,CONFIGURAÇÃO!H:I,2,FALSE)</f>
      </c>
      <c r="D617" s="148">
        <v>1</v>
      </c>
      <c r="E617" s="149" t="s">
        <v>72</v>
      </c>
      <c r="F617" s="96">
        <f>VLOOKUP(E617,CONFIGURAÇÃO!E:F,2,0)</f>
      </c>
      <c r="G617" s="147" t="s">
        <v>73</v>
      </c>
      <c r="H617" s="96">
        <f>IF(G617="CORTESIA",0,D617*F617)</f>
      </c>
      <c r="I617" s="147" t="s">
        <v>50</v>
      </c>
      <c r="J617" s="149" t="s">
        <v>184</v>
      </c>
      <c r="K617" s="147"/>
      <c r="L617" s="1"/>
      <c r="M617" s="1"/>
      <c r="N617" s="3"/>
    </row>
    <row x14ac:dyDescent="0.25" r="618" customHeight="1" ht="18.75" hidden="1">
      <c r="A618" s="67" t="s">
        <v>175</v>
      </c>
      <c r="B618" s="154" t="s">
        <v>361</v>
      </c>
      <c r="C618" s="160">
        <f>VLOOKUP(B618,CONFIGURAÇÃO!H:I,2,FALSE)</f>
      </c>
      <c r="D618" s="148">
        <v>1</v>
      </c>
      <c r="E618" s="149" t="s">
        <v>72</v>
      </c>
      <c r="F618" s="96">
        <f>VLOOKUP(E618,CONFIGURAÇÃO!E:F,2,0)</f>
      </c>
      <c r="G618" s="147" t="s">
        <v>73</v>
      </c>
      <c r="H618" s="96">
        <f>IF(G618="CORTESIA",0,D618*F618)</f>
      </c>
      <c r="I618" s="147" t="s">
        <v>50</v>
      </c>
      <c r="J618" s="149" t="s">
        <v>184</v>
      </c>
      <c r="K618" s="147"/>
      <c r="L618" s="1"/>
      <c r="M618" s="1"/>
      <c r="N618" s="3"/>
    </row>
    <row x14ac:dyDescent="0.25" r="619" customHeight="1" ht="18.75" hidden="1">
      <c r="A619" s="67" t="s">
        <v>172</v>
      </c>
      <c r="B619" s="154" t="s">
        <v>361</v>
      </c>
      <c r="C619" s="160">
        <f>VLOOKUP(B619,CONFIGURAÇÃO!H:I,2,FALSE)</f>
      </c>
      <c r="D619" s="148">
        <v>1</v>
      </c>
      <c r="E619" s="149" t="s">
        <v>183</v>
      </c>
      <c r="F619" s="96">
        <f>VLOOKUP(E619,CONFIGURAÇÃO!E:F,2,0)</f>
      </c>
      <c r="G619" s="147" t="s">
        <v>73</v>
      </c>
      <c r="H619" s="96">
        <f>IF(G619="CORTESIA",0,D619*F619)</f>
      </c>
      <c r="I619" s="147" t="s">
        <v>50</v>
      </c>
      <c r="J619" s="149" t="s">
        <v>184</v>
      </c>
      <c r="K619" s="147"/>
      <c r="L619" s="1"/>
      <c r="M619" s="1"/>
      <c r="N619" s="3"/>
    </row>
    <row x14ac:dyDescent="0.25" r="620" customHeight="1" ht="18.75" hidden="1">
      <c r="A620" s="65" t="s">
        <v>164</v>
      </c>
      <c r="B620" s="155" t="s">
        <v>361</v>
      </c>
      <c r="C620" s="160">
        <f>VLOOKUP(B620,CONFIGURAÇÃO!H:I,2,FALSE)</f>
      </c>
      <c r="D620" s="66">
        <v>1</v>
      </c>
      <c r="E620" s="147" t="s">
        <v>183</v>
      </c>
      <c r="F620" s="96">
        <f>VLOOKUP(E620,CONFIGURAÇÃO!E:F,2,0)</f>
      </c>
      <c r="G620" s="147" t="s">
        <v>73</v>
      </c>
      <c r="H620" s="96">
        <f>IF(G620="CORTESIA",0,D620*F620)</f>
      </c>
      <c r="I620" s="147" t="s">
        <v>50</v>
      </c>
      <c r="J620" s="147"/>
      <c r="K620" s="147"/>
      <c r="L620" s="1"/>
      <c r="M620" s="1"/>
      <c r="N620" s="3"/>
    </row>
    <row x14ac:dyDescent="0.25" r="621" customHeight="1" ht="18.75" hidden="1">
      <c r="A621" s="65" t="s">
        <v>189</v>
      </c>
      <c r="B621" s="155" t="s">
        <v>361</v>
      </c>
      <c r="C621" s="160">
        <f>VLOOKUP(B621,CONFIGURAÇÃO!H:I,2,FALSE)</f>
      </c>
      <c r="D621" s="66">
        <v>1</v>
      </c>
      <c r="E621" s="147" t="s">
        <v>72</v>
      </c>
      <c r="F621" s="96">
        <f>VLOOKUP(E621,CONFIGURAÇÃO!E:F,2,0)</f>
      </c>
      <c r="G621" s="147" t="s">
        <v>73</v>
      </c>
      <c r="H621" s="96">
        <f>IF(G621="CORTESIA",0,D621*F621)</f>
      </c>
      <c r="I621" s="147" t="s">
        <v>50</v>
      </c>
      <c r="J621" s="147"/>
      <c r="K621" s="147"/>
      <c r="L621" s="1"/>
      <c r="M621" s="1"/>
      <c r="N621" s="3"/>
    </row>
    <row x14ac:dyDescent="0.25" r="622" customHeight="1" ht="18.75" hidden="1">
      <c r="A622" s="67">
        <v>45740</v>
      </c>
      <c r="B622" s="154" t="s">
        <v>362</v>
      </c>
      <c r="C622" s="160">
        <f>VLOOKUP(B622,CONFIGURAÇÃO!H:I,2,FALSE)</f>
      </c>
      <c r="D622" s="148">
        <v>1</v>
      </c>
      <c r="E622" s="149" t="s">
        <v>78</v>
      </c>
      <c r="F622" s="96">
        <f>VLOOKUP(E622,CONFIGURAÇÃO!E:F,2,0)</f>
      </c>
      <c r="G622" s="147" t="s">
        <v>73</v>
      </c>
      <c r="H622" s="96">
        <f>IF(G622="CORTESIA",0,D622*F622)</f>
      </c>
      <c r="I622" s="147" t="s">
        <v>50</v>
      </c>
      <c r="J622" s="149" t="s">
        <v>184</v>
      </c>
      <c r="K622" s="147"/>
      <c r="L622" s="1"/>
      <c r="M622" s="1"/>
      <c r="N622" s="3"/>
    </row>
    <row x14ac:dyDescent="0.25" r="623" customHeight="1" ht="18.75" hidden="1">
      <c r="A623" s="67" t="s">
        <v>178</v>
      </c>
      <c r="B623" s="154" t="s">
        <v>362</v>
      </c>
      <c r="C623" s="160">
        <f>VLOOKUP(B623,CONFIGURAÇÃO!H:I,2,FALSE)</f>
      </c>
      <c r="D623" s="148">
        <v>1</v>
      </c>
      <c r="E623" s="149" t="s">
        <v>78</v>
      </c>
      <c r="F623" s="96">
        <f>VLOOKUP(E623,CONFIGURAÇÃO!E:F,2,0)</f>
      </c>
      <c r="G623" s="147" t="s">
        <v>73</v>
      </c>
      <c r="H623" s="96">
        <f>IF(G623="CORTESIA",0,D623*F623)</f>
      </c>
      <c r="I623" s="147" t="s">
        <v>50</v>
      </c>
      <c r="J623" s="149" t="s">
        <v>184</v>
      </c>
      <c r="K623" s="147"/>
      <c r="L623" s="1"/>
      <c r="M623" s="1"/>
      <c r="N623" s="3"/>
    </row>
    <row x14ac:dyDescent="0.25" r="624" customHeight="1" ht="18.75" hidden="1">
      <c r="A624" s="65" t="s">
        <v>163</v>
      </c>
      <c r="B624" s="155" t="s">
        <v>362</v>
      </c>
      <c r="C624" s="160">
        <f>VLOOKUP(B624,CONFIGURAÇÃO!H:I,2,FALSE)</f>
      </c>
      <c r="D624" s="66">
        <v>1</v>
      </c>
      <c r="E624" s="147" t="s">
        <v>78</v>
      </c>
      <c r="F624" s="96">
        <f>VLOOKUP(E624,CONFIGURAÇÃO!E:F,2,0)</f>
      </c>
      <c r="G624" s="147" t="s">
        <v>73</v>
      </c>
      <c r="H624" s="96">
        <f>IF(G624="CORTESIA",0,D624*F624)</f>
      </c>
      <c r="I624" s="147" t="s">
        <v>50</v>
      </c>
      <c r="J624" s="149" t="s">
        <v>184</v>
      </c>
      <c r="K624" s="147"/>
      <c r="L624" s="1"/>
      <c r="M624" s="1"/>
      <c r="N624" s="3"/>
    </row>
    <row x14ac:dyDescent="0.25" r="625" customHeight="1" ht="18.75" hidden="1">
      <c r="A625" s="67">
        <v>45741</v>
      </c>
      <c r="B625" s="154" t="s">
        <v>80</v>
      </c>
      <c r="C625" s="160">
        <f>VLOOKUP(B625,CONFIGURAÇÃO!H:I,2,FALSE)</f>
      </c>
      <c r="D625" s="148">
        <v>1</v>
      </c>
      <c r="E625" s="149" t="s">
        <v>183</v>
      </c>
      <c r="F625" s="96">
        <f>VLOOKUP(E625,CONFIGURAÇÃO!E:F,2,0)</f>
      </c>
      <c r="G625" s="147" t="s">
        <v>13</v>
      </c>
      <c r="H625" s="96">
        <f>IF(G625="CORTESIA",0,D625*F625)</f>
      </c>
      <c r="I625" s="147" t="s">
        <v>22</v>
      </c>
      <c r="J625" s="149" t="s">
        <v>184</v>
      </c>
      <c r="K625" s="147"/>
      <c r="L625" s="1"/>
      <c r="M625" s="1"/>
      <c r="N625" s="3"/>
    </row>
    <row x14ac:dyDescent="0.25" r="626" customHeight="1" ht="18.75" hidden="1">
      <c r="A626" s="65" t="s">
        <v>159</v>
      </c>
      <c r="B626" s="155" t="s">
        <v>80</v>
      </c>
      <c r="C626" s="160">
        <f>VLOOKUP(B626,CONFIGURAÇÃO!H:I,2,FALSE)</f>
      </c>
      <c r="D626" s="66">
        <v>1</v>
      </c>
      <c r="E626" s="147" t="s">
        <v>72</v>
      </c>
      <c r="F626" s="96">
        <f>VLOOKUP(E626,CONFIGURAÇÃO!E:F,2,0)</f>
      </c>
      <c r="G626" s="147" t="s">
        <v>13</v>
      </c>
      <c r="H626" s="96">
        <f>IF(G626="CORTESIA",0,D626*F626)</f>
      </c>
      <c r="I626" s="147" t="s">
        <v>22</v>
      </c>
      <c r="J626" s="149" t="s">
        <v>184</v>
      </c>
      <c r="K626" s="147"/>
      <c r="L626" s="1"/>
      <c r="M626" s="1"/>
      <c r="N626" s="3"/>
    </row>
    <row x14ac:dyDescent="0.25" r="627" customHeight="1" ht="18.75" hidden="1">
      <c r="A627" s="67">
        <v>45750</v>
      </c>
      <c r="B627" s="154" t="s">
        <v>363</v>
      </c>
      <c r="C627" s="160">
        <f>VLOOKUP(B627,CONFIGURAÇÃO!H:I,2,FALSE)</f>
      </c>
      <c r="D627" s="148">
        <v>2</v>
      </c>
      <c r="E627" s="149" t="s">
        <v>78</v>
      </c>
      <c r="F627" s="96">
        <f>VLOOKUP(E627,CONFIGURAÇÃO!E:F,2,0)</f>
      </c>
      <c r="G627" s="147" t="s">
        <v>13</v>
      </c>
      <c r="H627" s="96">
        <f>IF(G627="CORTESIA",0,D627*F627)</f>
      </c>
      <c r="I627" s="147" t="s">
        <v>19</v>
      </c>
      <c r="J627" s="149" t="s">
        <v>184</v>
      </c>
      <c r="K627" s="147" t="s">
        <v>234</v>
      </c>
      <c r="L627" s="1"/>
      <c r="M627" s="1"/>
      <c r="N627" s="3"/>
    </row>
    <row x14ac:dyDescent="0.25" r="628" customHeight="1" ht="18.75" hidden="1">
      <c r="A628" s="65" t="s">
        <v>177</v>
      </c>
      <c r="B628" s="155" t="s">
        <v>363</v>
      </c>
      <c r="C628" s="160">
        <f>VLOOKUP(B628,CONFIGURAÇÃO!H:I,2,FALSE)</f>
      </c>
      <c r="D628" s="66">
        <v>3</v>
      </c>
      <c r="E628" s="147" t="s">
        <v>78</v>
      </c>
      <c r="F628" s="96">
        <f>VLOOKUP(E628,CONFIGURAÇÃO!E:F,2,0)</f>
      </c>
      <c r="G628" s="147" t="s">
        <v>13</v>
      </c>
      <c r="H628" s="96">
        <f>IF(G628="CORTESIA",0,D628*F628)</f>
      </c>
      <c r="I628" s="147" t="s">
        <v>19</v>
      </c>
      <c r="J628" s="149" t="s">
        <v>184</v>
      </c>
      <c r="K628" s="147"/>
      <c r="L628" s="1"/>
      <c r="M628" s="1"/>
      <c r="N628" s="3"/>
    </row>
    <row x14ac:dyDescent="0.25" r="629" customHeight="1" ht="18.75" hidden="1">
      <c r="A629" s="65" t="s">
        <v>177</v>
      </c>
      <c r="B629" s="155" t="s">
        <v>363</v>
      </c>
      <c r="C629" s="160">
        <f>VLOOKUP(B629,CONFIGURAÇÃO!H:I,2,FALSE)</f>
      </c>
      <c r="D629" s="66">
        <v>1</v>
      </c>
      <c r="E629" s="147" t="s">
        <v>183</v>
      </c>
      <c r="F629" s="96">
        <f>VLOOKUP(E629,CONFIGURAÇÃO!E:F,2,0)</f>
      </c>
      <c r="G629" s="147" t="s">
        <v>13</v>
      </c>
      <c r="H629" s="96">
        <f>IF(G629="CORTESIA",0,D629*F629)</f>
      </c>
      <c r="I629" s="147" t="s">
        <v>19</v>
      </c>
      <c r="J629" s="149" t="s">
        <v>184</v>
      </c>
      <c r="K629" s="147"/>
      <c r="L629" s="1"/>
      <c r="M629" s="1"/>
      <c r="N629" s="3"/>
    </row>
    <row x14ac:dyDescent="0.25" r="630" customHeight="1" ht="18.75" hidden="1">
      <c r="A630" s="65" t="s">
        <v>188</v>
      </c>
      <c r="B630" s="155" t="s">
        <v>363</v>
      </c>
      <c r="C630" s="160">
        <f>VLOOKUP(B630,CONFIGURAÇÃO!H:I,2,FALSE)</f>
      </c>
      <c r="D630" s="66">
        <v>3</v>
      </c>
      <c r="E630" s="147" t="s">
        <v>78</v>
      </c>
      <c r="F630" s="96">
        <f>VLOOKUP(E630,CONFIGURAÇÃO!E:F,2,0)</f>
      </c>
      <c r="G630" s="147" t="s">
        <v>13</v>
      </c>
      <c r="H630" s="96">
        <f>IF(G630="CORTESIA",0,D630*F630)</f>
      </c>
      <c r="I630" s="147" t="s">
        <v>19</v>
      </c>
      <c r="J630" s="149" t="s">
        <v>184</v>
      </c>
      <c r="K630" s="147"/>
      <c r="L630" s="1"/>
      <c r="M630" s="1"/>
      <c r="N630" s="3"/>
    </row>
    <row x14ac:dyDescent="0.25" r="631" customHeight="1" ht="18.75" hidden="1">
      <c r="A631" s="65" t="s">
        <v>188</v>
      </c>
      <c r="B631" s="155" t="s">
        <v>363</v>
      </c>
      <c r="C631" s="160">
        <f>VLOOKUP(B631,CONFIGURAÇÃO!H:I,2,FALSE)</f>
      </c>
      <c r="D631" s="66">
        <v>2</v>
      </c>
      <c r="E631" s="147" t="s">
        <v>171</v>
      </c>
      <c r="F631" s="96">
        <f>VLOOKUP(E631,CONFIGURAÇÃO!E:F,2,0)</f>
      </c>
      <c r="G631" s="147" t="s">
        <v>13</v>
      </c>
      <c r="H631" s="96">
        <f>IF(G631="CORTESIA",0,D631*F631)</f>
      </c>
      <c r="I631" s="147" t="s">
        <v>19</v>
      </c>
      <c r="J631" s="149" t="s">
        <v>184</v>
      </c>
      <c r="K631" s="147"/>
      <c r="L631" s="1"/>
      <c r="M631" s="1"/>
      <c r="N631" s="3"/>
    </row>
    <row x14ac:dyDescent="0.25" r="632" customHeight="1" ht="18.75" hidden="1">
      <c r="A632" s="65" t="s">
        <v>172</v>
      </c>
      <c r="B632" s="155" t="s">
        <v>363</v>
      </c>
      <c r="C632" s="160">
        <f>VLOOKUP(B632,CONFIGURAÇÃO!H:I,2,FALSE)</f>
      </c>
      <c r="D632" s="66">
        <v>2</v>
      </c>
      <c r="E632" s="147" t="s">
        <v>78</v>
      </c>
      <c r="F632" s="96">
        <f>VLOOKUP(E632,CONFIGURAÇÃO!E:F,2,0)</f>
      </c>
      <c r="G632" s="147" t="s">
        <v>13</v>
      </c>
      <c r="H632" s="96">
        <f>IF(G632="CORTESIA",0,D632*F632)</f>
      </c>
      <c r="I632" s="147" t="s">
        <v>19</v>
      </c>
      <c r="J632" s="149" t="s">
        <v>184</v>
      </c>
      <c r="K632" s="147"/>
      <c r="L632" s="1"/>
      <c r="M632" s="1"/>
      <c r="N632" s="3"/>
    </row>
    <row x14ac:dyDescent="0.25" r="633" customHeight="1" ht="18.75" hidden="1">
      <c r="A633" s="65" t="s">
        <v>172</v>
      </c>
      <c r="B633" s="155" t="s">
        <v>363</v>
      </c>
      <c r="C633" s="160">
        <f>VLOOKUP(B633,CONFIGURAÇÃO!H:I,2,FALSE)</f>
      </c>
      <c r="D633" s="66">
        <v>2</v>
      </c>
      <c r="E633" s="147" t="s">
        <v>183</v>
      </c>
      <c r="F633" s="96">
        <f>VLOOKUP(E633,CONFIGURAÇÃO!E:F,2,0)</f>
      </c>
      <c r="G633" s="147" t="s">
        <v>13</v>
      </c>
      <c r="H633" s="96">
        <f>IF(G633="CORTESIA",0,D633*F633)</f>
      </c>
      <c r="I633" s="147" t="s">
        <v>19</v>
      </c>
      <c r="J633" s="149" t="s">
        <v>184</v>
      </c>
      <c r="K633" s="147"/>
      <c r="L633" s="1"/>
      <c r="M633" s="1"/>
      <c r="N633" s="3"/>
    </row>
    <row x14ac:dyDescent="0.25" r="634" customHeight="1" ht="18.75" hidden="1">
      <c r="A634" s="65" t="s">
        <v>159</v>
      </c>
      <c r="B634" s="155" t="s">
        <v>363</v>
      </c>
      <c r="C634" s="160">
        <f>VLOOKUP(B634,CONFIGURAÇÃO!H:I,2,FALSE)</f>
      </c>
      <c r="D634" s="66">
        <v>2</v>
      </c>
      <c r="E634" s="147" t="s">
        <v>78</v>
      </c>
      <c r="F634" s="96">
        <f>VLOOKUP(E634,CONFIGURAÇÃO!E:F,2,0)</f>
      </c>
      <c r="G634" s="147" t="s">
        <v>13</v>
      </c>
      <c r="H634" s="96">
        <f>IF(G634="CORTESIA",0,D634*F634)</f>
      </c>
      <c r="I634" s="147" t="s">
        <v>19</v>
      </c>
      <c r="J634" s="149" t="s">
        <v>184</v>
      </c>
      <c r="K634" s="147"/>
      <c r="L634" s="1"/>
      <c r="M634" s="1"/>
      <c r="N634" s="3"/>
    </row>
    <row x14ac:dyDescent="0.25" r="635" customHeight="1" ht="18.75" hidden="1">
      <c r="A635" s="65" t="s">
        <v>228</v>
      </c>
      <c r="B635" s="155" t="s">
        <v>363</v>
      </c>
      <c r="C635" s="160">
        <f>VLOOKUP(B635,CONFIGURAÇÃO!H:I,2,FALSE)</f>
      </c>
      <c r="D635" s="66">
        <v>3</v>
      </c>
      <c r="E635" s="147" t="s">
        <v>72</v>
      </c>
      <c r="F635" s="96">
        <f>VLOOKUP(E635,CONFIGURAÇÃO!E:F,2,0)</f>
      </c>
      <c r="G635" s="147" t="s">
        <v>13</v>
      </c>
      <c r="H635" s="96">
        <f>IF(G635="CORTESIA",0,D635*F635)</f>
      </c>
      <c r="I635" s="147" t="s">
        <v>19</v>
      </c>
      <c r="J635" s="149" t="s">
        <v>184</v>
      </c>
      <c r="K635" s="147"/>
      <c r="L635" s="1"/>
      <c r="M635" s="1"/>
      <c r="N635" s="3"/>
    </row>
    <row x14ac:dyDescent="0.25" r="636" customHeight="1" ht="18.75" hidden="1">
      <c r="A636" s="67" t="s">
        <v>205</v>
      </c>
      <c r="B636" s="154" t="s">
        <v>363</v>
      </c>
      <c r="C636" s="160">
        <f>VLOOKUP(B636,CONFIGURAÇÃO!H:I,2,FALSE)</f>
      </c>
      <c r="D636" s="148">
        <v>2</v>
      </c>
      <c r="E636" s="149" t="s">
        <v>72</v>
      </c>
      <c r="F636" s="96">
        <f>VLOOKUP(E636,CONFIGURAÇÃO!E:F,2,0)</f>
      </c>
      <c r="G636" s="147" t="s">
        <v>13</v>
      </c>
      <c r="H636" s="96">
        <f>IF(G636="CORTESIA",0,D636*F636)</f>
      </c>
      <c r="I636" s="147" t="s">
        <v>19</v>
      </c>
      <c r="J636" s="149" t="s">
        <v>184</v>
      </c>
      <c r="K636" s="147"/>
      <c r="L636" s="1"/>
      <c r="M636" s="1"/>
      <c r="N636" s="3"/>
    </row>
    <row x14ac:dyDescent="0.25" r="637" customHeight="1" ht="18.75" hidden="1">
      <c r="A637" s="67" t="s">
        <v>205</v>
      </c>
      <c r="B637" s="154" t="s">
        <v>363</v>
      </c>
      <c r="C637" s="160">
        <f>VLOOKUP(B637,CONFIGURAÇÃO!H:I,2,FALSE)</f>
      </c>
      <c r="D637" s="148">
        <v>1</v>
      </c>
      <c r="E637" s="149" t="s">
        <v>171</v>
      </c>
      <c r="F637" s="96">
        <f>VLOOKUP(E637,CONFIGURAÇÃO!E:F,2,0)</f>
      </c>
      <c r="G637" s="147" t="s">
        <v>13</v>
      </c>
      <c r="H637" s="96">
        <f>IF(G637="CORTESIA",0,D637*F637)</f>
      </c>
      <c r="I637" s="147" t="s">
        <v>19</v>
      </c>
      <c r="J637" s="149" t="s">
        <v>184</v>
      </c>
      <c r="K637" s="147" t="s">
        <v>234</v>
      </c>
      <c r="L637" s="1"/>
      <c r="M637" s="1"/>
      <c r="N637" s="3"/>
    </row>
    <row x14ac:dyDescent="0.25" r="638" customHeight="1" ht="18.75" hidden="1">
      <c r="A638" s="67" t="s">
        <v>162</v>
      </c>
      <c r="B638" s="154" t="s">
        <v>363</v>
      </c>
      <c r="C638" s="160">
        <f>VLOOKUP(B638,CONFIGURAÇÃO!H:I,2,FALSE)</f>
      </c>
      <c r="D638" s="148">
        <v>2</v>
      </c>
      <c r="E638" s="149" t="s">
        <v>183</v>
      </c>
      <c r="F638" s="96">
        <f>VLOOKUP(E638,CONFIGURAÇÃO!E:F,2,0)</f>
      </c>
      <c r="G638" s="147" t="s">
        <v>13</v>
      </c>
      <c r="H638" s="96">
        <f>IF(G638="CORTESIA",0,D638*F638)</f>
      </c>
      <c r="I638" s="147" t="s">
        <v>19</v>
      </c>
      <c r="J638" s="149" t="s">
        <v>184</v>
      </c>
      <c r="K638" s="147"/>
      <c r="L638" s="1"/>
      <c r="M638" s="1"/>
      <c r="N638" s="3"/>
    </row>
    <row x14ac:dyDescent="0.25" r="639" customHeight="1" ht="18.75" hidden="1">
      <c r="A639" s="67" t="s">
        <v>163</v>
      </c>
      <c r="B639" s="154" t="s">
        <v>363</v>
      </c>
      <c r="C639" s="160">
        <f>VLOOKUP(B639,CONFIGURAÇÃO!H:I,2,FALSE)</f>
      </c>
      <c r="D639" s="148">
        <v>2</v>
      </c>
      <c r="E639" s="149" t="s">
        <v>183</v>
      </c>
      <c r="F639" s="96">
        <f>VLOOKUP(E639,CONFIGURAÇÃO!E:F,2,0)</f>
      </c>
      <c r="G639" s="147" t="s">
        <v>13</v>
      </c>
      <c r="H639" s="96">
        <f>IF(G639="CORTESIA",0,D639*F639)</f>
      </c>
      <c r="I639" s="147" t="s">
        <v>19</v>
      </c>
      <c r="J639" s="149" t="s">
        <v>184</v>
      </c>
      <c r="K639" s="147" t="s">
        <v>234</v>
      </c>
      <c r="L639" s="1"/>
      <c r="M639" s="1"/>
      <c r="N639" s="3"/>
    </row>
    <row x14ac:dyDescent="0.25" r="640" customHeight="1" ht="18.75" hidden="1">
      <c r="A640" s="67" t="s">
        <v>163</v>
      </c>
      <c r="B640" s="154" t="s">
        <v>363</v>
      </c>
      <c r="C640" s="160">
        <f>VLOOKUP(B640,CONFIGURAÇÃO!H:I,2,FALSE)</f>
      </c>
      <c r="D640" s="148">
        <v>1</v>
      </c>
      <c r="E640" s="149" t="s">
        <v>78</v>
      </c>
      <c r="F640" s="96">
        <f>VLOOKUP(E640,CONFIGURAÇÃO!E:F,2,0)</f>
      </c>
      <c r="G640" s="147" t="s">
        <v>13</v>
      </c>
      <c r="H640" s="96">
        <f>IF(G640="CORTESIA",0,D640*F640)</f>
      </c>
      <c r="I640" s="147" t="s">
        <v>19</v>
      </c>
      <c r="J640" s="149" t="s">
        <v>184</v>
      </c>
      <c r="K640" s="147" t="s">
        <v>234</v>
      </c>
      <c r="L640" s="1"/>
      <c r="M640" s="1"/>
      <c r="N640" s="3"/>
    </row>
    <row x14ac:dyDescent="0.25" r="641" customHeight="1" ht="18.75" hidden="1">
      <c r="A641" s="65">
        <v>45661</v>
      </c>
      <c r="B641" s="155" t="s">
        <v>364</v>
      </c>
      <c r="C641" s="160">
        <f>VLOOKUP(B641,CONFIGURAÇÃO!H:I,2,FALSE)</f>
      </c>
      <c r="D641" s="66">
        <v>1</v>
      </c>
      <c r="E641" s="147" t="s">
        <v>72</v>
      </c>
      <c r="F641" s="96">
        <f>VLOOKUP(E641,CONFIGURAÇÃO!E:F,2,0)</f>
      </c>
      <c r="G641" s="147" t="s">
        <v>73</v>
      </c>
      <c r="H641" s="96">
        <f>IF(G641="CORTESIA",0,D641*F641)</f>
      </c>
      <c r="I641" s="147" t="s">
        <v>50</v>
      </c>
      <c r="J641" s="149" t="s">
        <v>184</v>
      </c>
      <c r="K641" s="147"/>
      <c r="L641" s="1"/>
      <c r="M641" s="1"/>
      <c r="N641" s="3"/>
    </row>
    <row x14ac:dyDescent="0.25" r="642" customHeight="1" ht="18.75" hidden="1">
      <c r="A642" s="67">
        <v>45740</v>
      </c>
      <c r="B642" s="155" t="s">
        <v>364</v>
      </c>
      <c r="C642" s="160">
        <f>VLOOKUP(B642,CONFIGURAÇÃO!H:I,2,FALSE)</f>
      </c>
      <c r="D642" s="148">
        <v>1</v>
      </c>
      <c r="E642" s="149" t="s">
        <v>72</v>
      </c>
      <c r="F642" s="96">
        <f>VLOOKUP(E642,CONFIGURAÇÃO!E:F,2,0)</f>
      </c>
      <c r="G642" s="147" t="s">
        <v>73</v>
      </c>
      <c r="H642" s="96">
        <f>IF(G642="CORTESIA",0,D642*F642)</f>
      </c>
      <c r="I642" s="147" t="s">
        <v>50</v>
      </c>
      <c r="J642" s="149" t="s">
        <v>184</v>
      </c>
      <c r="K642" s="147"/>
      <c r="L642" s="1"/>
      <c r="M642" s="1"/>
      <c r="N642" s="3"/>
    </row>
    <row x14ac:dyDescent="0.25" r="643" customHeight="1" ht="18.75" hidden="1">
      <c r="A643" s="67" t="s">
        <v>175</v>
      </c>
      <c r="B643" s="154" t="s">
        <v>364</v>
      </c>
      <c r="C643" s="160">
        <f>VLOOKUP(B643,CONFIGURAÇÃO!H:I,2,FALSE)</f>
      </c>
      <c r="D643" s="148">
        <v>1</v>
      </c>
      <c r="E643" s="149" t="s">
        <v>72</v>
      </c>
      <c r="F643" s="96">
        <f>VLOOKUP(E643,CONFIGURAÇÃO!E:F,2,0)</f>
      </c>
      <c r="G643" s="147" t="s">
        <v>73</v>
      </c>
      <c r="H643" s="96">
        <f>IF(G643="CORTESIA",0,D643*F643)</f>
      </c>
      <c r="I643" s="147" t="s">
        <v>50</v>
      </c>
      <c r="J643" s="149" t="s">
        <v>184</v>
      </c>
      <c r="K643" s="147"/>
      <c r="L643" s="1"/>
      <c r="M643" s="1"/>
      <c r="N643" s="3"/>
    </row>
    <row x14ac:dyDescent="0.25" r="644" customHeight="1" ht="18.75" hidden="1">
      <c r="A644" s="67" t="s">
        <v>188</v>
      </c>
      <c r="B644" s="154" t="s">
        <v>364</v>
      </c>
      <c r="C644" s="160">
        <f>VLOOKUP(B644,CONFIGURAÇÃO!H:I,2,FALSE)</f>
      </c>
      <c r="D644" s="148">
        <v>1</v>
      </c>
      <c r="E644" s="149" t="s">
        <v>171</v>
      </c>
      <c r="F644" s="96">
        <f>VLOOKUP(E644,CONFIGURAÇÃO!E:F,2,0)</f>
      </c>
      <c r="G644" s="147" t="s">
        <v>73</v>
      </c>
      <c r="H644" s="96">
        <f>IF(G644="CORTESIA",0,D644*F644)</f>
      </c>
      <c r="I644" s="147" t="s">
        <v>50</v>
      </c>
      <c r="J644" s="149" t="s">
        <v>184</v>
      </c>
      <c r="K644" s="147"/>
      <c r="L644" s="1"/>
      <c r="M644" s="1"/>
      <c r="N644" s="3"/>
    </row>
    <row x14ac:dyDescent="0.25" r="645" customHeight="1" ht="18.75" hidden="1">
      <c r="A645" s="67" t="s">
        <v>159</v>
      </c>
      <c r="B645" s="154" t="s">
        <v>364</v>
      </c>
      <c r="C645" s="160">
        <f>VLOOKUP(B645,CONFIGURAÇÃO!H:I,2,FALSE)</f>
      </c>
      <c r="D645" s="148">
        <v>1</v>
      </c>
      <c r="E645" s="149" t="s">
        <v>72</v>
      </c>
      <c r="F645" s="96">
        <f>VLOOKUP(E645,CONFIGURAÇÃO!E:F,2,0)</f>
      </c>
      <c r="G645" s="147" t="s">
        <v>73</v>
      </c>
      <c r="H645" s="96">
        <f>IF(G645="CORTESIA",0,D645*F645)</f>
      </c>
      <c r="I645" s="147" t="s">
        <v>50</v>
      </c>
      <c r="J645" s="149" t="s">
        <v>184</v>
      </c>
      <c r="K645" s="147"/>
      <c r="L645" s="1"/>
      <c r="M645" s="1"/>
      <c r="N645" s="3"/>
    </row>
    <row x14ac:dyDescent="0.25" r="646" customHeight="1" ht="18.75" hidden="1">
      <c r="A646" s="65">
        <v>45689</v>
      </c>
      <c r="B646" s="155" t="s">
        <v>174</v>
      </c>
      <c r="C646" s="160">
        <f>VLOOKUP(B646,CONFIGURAÇÃO!H:I,2,FALSE)</f>
      </c>
      <c r="D646" s="66">
        <v>1</v>
      </c>
      <c r="E646" s="147" t="s">
        <v>72</v>
      </c>
      <c r="F646" s="96">
        <f>VLOOKUP(E646,CONFIGURAÇÃO!E:F,2,0)</f>
      </c>
      <c r="G646" s="147" t="s">
        <v>13</v>
      </c>
      <c r="H646" s="96">
        <f>IF(G646="CORTESIA",0,D646*F646)</f>
      </c>
      <c r="I646" s="147" t="s">
        <v>50</v>
      </c>
      <c r="J646" s="149" t="s">
        <v>184</v>
      </c>
      <c r="K646" s="147"/>
      <c r="L646" s="1"/>
      <c r="M646" s="1"/>
      <c r="N646" s="3"/>
    </row>
    <row x14ac:dyDescent="0.25" r="647" customHeight="1" ht="18.75">
      <c r="A647" s="65">
        <v>45699</v>
      </c>
      <c r="B647" s="155" t="s">
        <v>174</v>
      </c>
      <c r="C647" s="160">
        <f>VLOOKUP(B647,CONFIGURAÇÃO!H:I,2,FALSE)</f>
      </c>
      <c r="D647" s="66">
        <v>2</v>
      </c>
      <c r="E647" s="147" t="s">
        <v>78</v>
      </c>
      <c r="F647" s="96">
        <f>VLOOKUP(E647,CONFIGURAÇÃO!E:F,2,0)</f>
      </c>
      <c r="G647" s="147" t="s">
        <v>291</v>
      </c>
      <c r="H647" s="96">
        <f>IF(G647="CORTESIA",0,D647*F647)</f>
      </c>
      <c r="I647" s="147" t="s">
        <v>50</v>
      </c>
      <c r="J647" s="149" t="s">
        <v>184</v>
      </c>
      <c r="K647" s="147"/>
      <c r="L647" s="1"/>
      <c r="M647" s="1"/>
      <c r="N647" s="3"/>
    </row>
    <row x14ac:dyDescent="0.25" r="648" customHeight="1" ht="18.75">
      <c r="A648" s="67">
        <v>45740</v>
      </c>
      <c r="B648" s="154" t="s">
        <v>174</v>
      </c>
      <c r="C648" s="160">
        <f>VLOOKUP(B648,CONFIGURAÇÃO!H:I,2,FALSE)</f>
      </c>
      <c r="D648" s="148">
        <v>2</v>
      </c>
      <c r="E648" s="149" t="s">
        <v>78</v>
      </c>
      <c r="F648" s="96">
        <f>VLOOKUP(E648,CONFIGURAÇÃO!E:F,2,0)</f>
      </c>
      <c r="G648" s="147" t="s">
        <v>291</v>
      </c>
      <c r="H648" s="96">
        <f>IF(G648="CORTESIA",0,D648*F648)</f>
      </c>
      <c r="I648" s="147" t="s">
        <v>50</v>
      </c>
      <c r="J648" s="149" t="s">
        <v>184</v>
      </c>
      <c r="K648" s="147"/>
      <c r="L648" s="1"/>
      <c r="M648" s="1"/>
      <c r="N648" s="3"/>
    </row>
    <row x14ac:dyDescent="0.25" r="649" customHeight="1" ht="18.75">
      <c r="A649" s="65" t="s">
        <v>34</v>
      </c>
      <c r="B649" s="154" t="s">
        <v>174</v>
      </c>
      <c r="C649" s="160">
        <f>VLOOKUP(B649,CONFIGURAÇÃO!H:I,2,FALSE)</f>
      </c>
      <c r="D649" s="66">
        <v>2</v>
      </c>
      <c r="E649" s="147" t="s">
        <v>78</v>
      </c>
      <c r="F649" s="96">
        <f>VLOOKUP(E649,CONFIGURAÇÃO!E:F,2,0)</f>
      </c>
      <c r="G649" s="147" t="s">
        <v>291</v>
      </c>
      <c r="H649" s="96">
        <f>IF(G649="CORTESIA",0,D649*F649)</f>
      </c>
      <c r="I649" s="147" t="s">
        <v>50</v>
      </c>
      <c r="J649" s="149" t="s">
        <v>184</v>
      </c>
      <c r="K649" s="147"/>
      <c r="L649" s="1"/>
      <c r="M649" s="1"/>
      <c r="N649" s="3"/>
    </row>
    <row x14ac:dyDescent="0.25" r="650" customHeight="1" ht="18.75">
      <c r="A650" s="67" t="s">
        <v>175</v>
      </c>
      <c r="B650" s="154" t="s">
        <v>174</v>
      </c>
      <c r="C650" s="160">
        <f>VLOOKUP(B650,CONFIGURAÇÃO!H:I,2,FALSE)</f>
      </c>
      <c r="D650" s="148">
        <v>1</v>
      </c>
      <c r="E650" s="149" t="s">
        <v>72</v>
      </c>
      <c r="F650" s="96">
        <f>VLOOKUP(E650,CONFIGURAÇÃO!E:F,2,0)</f>
      </c>
      <c r="G650" s="147" t="s">
        <v>291</v>
      </c>
      <c r="H650" s="96">
        <f>IF(G650="CORTESIA",0,D650*F650)</f>
      </c>
      <c r="I650" s="147" t="s">
        <v>50</v>
      </c>
      <c r="J650" s="149" t="s">
        <v>184</v>
      </c>
      <c r="K650" s="147"/>
      <c r="L650" s="1"/>
      <c r="M650" s="1"/>
      <c r="N650" s="3"/>
    </row>
    <row x14ac:dyDescent="0.25" r="651" customHeight="1" ht="18.75" hidden="1">
      <c r="A651" s="67" t="s">
        <v>172</v>
      </c>
      <c r="B651" s="154" t="s">
        <v>174</v>
      </c>
      <c r="C651" s="160">
        <f>VLOOKUP(B651,CONFIGURAÇÃO!H:I,2,FALSE)</f>
      </c>
      <c r="D651" s="148">
        <v>1</v>
      </c>
      <c r="E651" s="149" t="s">
        <v>78</v>
      </c>
      <c r="F651" s="96">
        <f>VLOOKUP(E651,CONFIGURAÇÃO!E:F,2,0)</f>
      </c>
      <c r="G651" s="147" t="s">
        <v>13</v>
      </c>
      <c r="H651" s="96">
        <f>IF(G651="CORTESIA",0,D651*F651)</f>
      </c>
      <c r="I651" s="147" t="s">
        <v>50</v>
      </c>
      <c r="J651" s="149" t="s">
        <v>184</v>
      </c>
      <c r="K651" s="147"/>
      <c r="L651" s="1"/>
      <c r="M651" s="1"/>
      <c r="N651" s="3"/>
    </row>
    <row x14ac:dyDescent="0.25" r="652" customHeight="1" ht="18.75" hidden="1">
      <c r="A652" s="67" t="s">
        <v>159</v>
      </c>
      <c r="B652" s="154" t="s">
        <v>174</v>
      </c>
      <c r="C652" s="160">
        <f>VLOOKUP(B652,CONFIGURAÇÃO!H:I,2,FALSE)</f>
      </c>
      <c r="D652" s="148">
        <v>1</v>
      </c>
      <c r="E652" s="149" t="s">
        <v>72</v>
      </c>
      <c r="F652" s="96">
        <f>VLOOKUP(E652,CONFIGURAÇÃO!E:F,2,0)</f>
      </c>
      <c r="G652" s="147" t="s">
        <v>13</v>
      </c>
      <c r="H652" s="96">
        <f>IF(G652="CORTESIA",0,D652*F652)</f>
      </c>
      <c r="I652" s="147" t="s">
        <v>50</v>
      </c>
      <c r="J652" s="149" t="s">
        <v>184</v>
      </c>
      <c r="K652" s="147"/>
      <c r="L652" s="1"/>
      <c r="M652" s="1"/>
      <c r="N652" s="3"/>
    </row>
    <row x14ac:dyDescent="0.25" r="653" customHeight="1" ht="18.75">
      <c r="A653" s="67" t="s">
        <v>159</v>
      </c>
      <c r="B653" s="154" t="s">
        <v>174</v>
      </c>
      <c r="C653" s="160">
        <f>VLOOKUP(B653,CONFIGURAÇÃO!H:I,2,FALSE)</f>
      </c>
      <c r="D653" s="148">
        <v>1</v>
      </c>
      <c r="E653" s="149" t="s">
        <v>78</v>
      </c>
      <c r="F653" s="96">
        <f>VLOOKUP(E653,CONFIGURAÇÃO!E:F,2,0)</f>
      </c>
      <c r="G653" s="147" t="s">
        <v>291</v>
      </c>
      <c r="H653" s="96">
        <f>IF(G653="CORTESIA",0,D653*F653)</f>
      </c>
      <c r="I653" s="147" t="s">
        <v>50</v>
      </c>
      <c r="J653" s="149" t="s">
        <v>184</v>
      </c>
      <c r="K653" s="147"/>
      <c r="L653" s="1"/>
      <c r="M653" s="1"/>
      <c r="N653" s="3"/>
    </row>
    <row x14ac:dyDescent="0.25" r="654" customHeight="1" ht="18.75" hidden="1">
      <c r="A654" s="67" t="s">
        <v>159</v>
      </c>
      <c r="B654" s="154" t="s">
        <v>174</v>
      </c>
      <c r="C654" s="160">
        <f>VLOOKUP(B654,CONFIGURAÇÃO!H:I,2,FALSE)</f>
      </c>
      <c r="D654" s="148">
        <v>1</v>
      </c>
      <c r="E654" s="149" t="s">
        <v>72</v>
      </c>
      <c r="F654" s="96">
        <f>VLOOKUP(E654,CONFIGURAÇÃO!E:F,2,0)</f>
      </c>
      <c r="G654" s="147" t="s">
        <v>52</v>
      </c>
      <c r="H654" s="96">
        <f>IF(G654="CORTESIA",0,D654*F654)</f>
      </c>
      <c r="I654" s="147" t="s">
        <v>50</v>
      </c>
      <c r="J654" s="149" t="s">
        <v>184</v>
      </c>
      <c r="K654" s="147"/>
      <c r="L654" s="1"/>
      <c r="M654" s="1"/>
      <c r="N654" s="3"/>
    </row>
    <row x14ac:dyDescent="0.25" r="655" customHeight="1" ht="18.75" hidden="1">
      <c r="A655" s="65" t="s">
        <v>228</v>
      </c>
      <c r="B655" s="154" t="s">
        <v>174</v>
      </c>
      <c r="C655" s="160">
        <f>VLOOKUP(B655,CONFIGURAÇÃO!H:I,2,FALSE)</f>
      </c>
      <c r="D655" s="66">
        <v>1</v>
      </c>
      <c r="E655" s="147" t="s">
        <v>72</v>
      </c>
      <c r="F655" s="96">
        <f>VLOOKUP(E655,CONFIGURAÇÃO!E:F,2,0)</f>
      </c>
      <c r="G655" s="147" t="s">
        <v>13</v>
      </c>
      <c r="H655" s="96">
        <f>IF(G655="CORTESIA",0,D655*F655)</f>
      </c>
      <c r="I655" s="147" t="s">
        <v>19</v>
      </c>
      <c r="J655" s="149" t="s">
        <v>184</v>
      </c>
      <c r="K655" s="147"/>
      <c r="L655" s="1"/>
      <c r="M655" s="1"/>
      <c r="N655" s="3"/>
    </row>
    <row x14ac:dyDescent="0.25" r="656" customHeight="1" ht="18.75" hidden="1">
      <c r="A656" s="67" t="s">
        <v>162</v>
      </c>
      <c r="B656" s="154" t="s">
        <v>174</v>
      </c>
      <c r="C656" s="160">
        <f>VLOOKUP(B656,CONFIGURAÇÃO!H:I,2,FALSE)</f>
      </c>
      <c r="D656" s="148">
        <v>1</v>
      </c>
      <c r="E656" s="149" t="s">
        <v>171</v>
      </c>
      <c r="F656" s="96">
        <f>VLOOKUP(E656,CONFIGURAÇÃO!E:F,2,0)</f>
      </c>
      <c r="G656" s="147" t="s">
        <v>13</v>
      </c>
      <c r="H656" s="96">
        <f>IF(G656="CORTESIA",0,D656*F656)</f>
      </c>
      <c r="I656" s="147" t="s">
        <v>19</v>
      </c>
      <c r="J656" s="149" t="s">
        <v>184</v>
      </c>
      <c r="K656" s="147"/>
      <c r="L656" s="1"/>
      <c r="M656" s="1"/>
      <c r="N656" s="3"/>
    </row>
    <row x14ac:dyDescent="0.25" r="657" customHeight="1" ht="18.75" hidden="1">
      <c r="A657" s="65" t="s">
        <v>162</v>
      </c>
      <c r="B657" s="155" t="s">
        <v>174</v>
      </c>
      <c r="C657" s="160">
        <f>VLOOKUP(B657,CONFIGURAÇÃO!H:I,2,FALSE)</f>
      </c>
      <c r="D657" s="66">
        <v>1</v>
      </c>
      <c r="E657" s="147" t="s">
        <v>78</v>
      </c>
      <c r="F657" s="96">
        <f>VLOOKUP(E657,CONFIGURAÇÃO!E:F,2,0)</f>
      </c>
      <c r="G657" s="147" t="s">
        <v>13</v>
      </c>
      <c r="H657" s="96">
        <f>IF(G657="CORTESIA",0,D657*F657)</f>
      </c>
      <c r="I657" s="147" t="s">
        <v>50</v>
      </c>
      <c r="J657" s="149" t="s">
        <v>184</v>
      </c>
      <c r="K657" s="147"/>
      <c r="L657" s="1"/>
      <c r="M657" s="1"/>
      <c r="N657" s="3"/>
    </row>
    <row x14ac:dyDescent="0.25" r="658" customHeight="1" ht="18.75" hidden="1">
      <c r="A658" s="65" t="s">
        <v>163</v>
      </c>
      <c r="B658" s="155" t="s">
        <v>174</v>
      </c>
      <c r="C658" s="160">
        <f>VLOOKUP(B658,CONFIGURAÇÃO!H:I,2,FALSE)</f>
      </c>
      <c r="D658" s="66">
        <v>1</v>
      </c>
      <c r="E658" s="147" t="s">
        <v>78</v>
      </c>
      <c r="F658" s="96">
        <f>VLOOKUP(E658,CONFIGURAÇÃO!E:F,2,0)</f>
      </c>
      <c r="G658" s="147" t="s">
        <v>13</v>
      </c>
      <c r="H658" s="96">
        <f>IF(G658="CORTESIA",0,D658*F658)</f>
      </c>
      <c r="I658" s="147" t="s">
        <v>50</v>
      </c>
      <c r="J658" s="149" t="s">
        <v>184</v>
      </c>
      <c r="K658" s="147"/>
      <c r="L658" s="1"/>
      <c r="M658" s="1"/>
      <c r="N658" s="3"/>
    </row>
    <row x14ac:dyDescent="0.25" r="659" customHeight="1" ht="18.75" hidden="1">
      <c r="A659" s="65" t="s">
        <v>163</v>
      </c>
      <c r="B659" s="155" t="s">
        <v>174</v>
      </c>
      <c r="C659" s="160">
        <f>VLOOKUP(B659,CONFIGURAÇÃO!H:I,2,FALSE)</f>
      </c>
      <c r="D659" s="66">
        <v>1</v>
      </c>
      <c r="E659" s="147" t="s">
        <v>183</v>
      </c>
      <c r="F659" s="96">
        <f>VLOOKUP(E659,CONFIGURAÇÃO!E:F,2,0)</f>
      </c>
      <c r="G659" s="147" t="s">
        <v>13</v>
      </c>
      <c r="H659" s="96">
        <f>IF(G659="CORTESIA",0,D659*F659)</f>
      </c>
      <c r="I659" s="147" t="s">
        <v>50</v>
      </c>
      <c r="J659" s="149" t="s">
        <v>184</v>
      </c>
      <c r="K659" s="147"/>
      <c r="L659" s="1"/>
      <c r="M659" s="1"/>
      <c r="N659" s="3"/>
    </row>
    <row x14ac:dyDescent="0.25" r="660" customHeight="1" ht="18.75" hidden="1">
      <c r="A660" s="65" t="s">
        <v>164</v>
      </c>
      <c r="B660" s="155" t="s">
        <v>174</v>
      </c>
      <c r="C660" s="160">
        <f>VLOOKUP(B660,CONFIGURAÇÃO!H:I,2,FALSE)</f>
      </c>
      <c r="D660" s="66">
        <v>1</v>
      </c>
      <c r="E660" s="147" t="s">
        <v>183</v>
      </c>
      <c r="F660" s="96">
        <f>VLOOKUP(E660,CONFIGURAÇÃO!E:F,2,0)</f>
      </c>
      <c r="G660" s="147" t="s">
        <v>13</v>
      </c>
      <c r="H660" s="96">
        <f>IF(G660="CORTESIA",0,D660*F660)</f>
      </c>
      <c r="I660" s="147" t="s">
        <v>50</v>
      </c>
      <c r="J660" s="147"/>
      <c r="K660" s="147"/>
      <c r="L660" s="1"/>
      <c r="M660" s="1"/>
      <c r="N660" s="3"/>
    </row>
    <row x14ac:dyDescent="0.25" r="661" customHeight="1" ht="18.75" hidden="1">
      <c r="A661" s="65" t="s">
        <v>188</v>
      </c>
      <c r="B661" s="155" t="s">
        <v>365</v>
      </c>
      <c r="C661" s="160">
        <f>VLOOKUP(B661,CONFIGURAÇÃO!H:I,2,FALSE)</f>
      </c>
      <c r="D661" s="66">
        <v>1</v>
      </c>
      <c r="E661" s="147" t="s">
        <v>171</v>
      </c>
      <c r="F661" s="96">
        <f>VLOOKUP(E661,CONFIGURAÇÃO!E:F,2,0)</f>
      </c>
      <c r="G661" s="147" t="s">
        <v>52</v>
      </c>
      <c r="H661" s="96">
        <f>IF(G661="CORTESIA",0,D661*F661)</f>
      </c>
      <c r="I661" s="147" t="s">
        <v>19</v>
      </c>
      <c r="J661" s="149" t="s">
        <v>184</v>
      </c>
      <c r="K661" s="147"/>
      <c r="L661" s="1"/>
      <c r="M661" s="1"/>
      <c r="N661" s="3"/>
    </row>
    <row x14ac:dyDescent="0.25" r="662" customHeight="1" ht="18.75" hidden="1">
      <c r="A662" s="67" t="s">
        <v>188</v>
      </c>
      <c r="B662" s="154" t="s">
        <v>365</v>
      </c>
      <c r="C662" s="160">
        <f>VLOOKUP(B662,CONFIGURAÇÃO!H:I,2,FALSE)</f>
      </c>
      <c r="D662" s="148">
        <v>1</v>
      </c>
      <c r="E662" s="149" t="s">
        <v>171</v>
      </c>
      <c r="F662" s="96">
        <f>VLOOKUP(E662,CONFIGURAÇÃO!E:F,2,0)</f>
      </c>
      <c r="G662" s="147" t="s">
        <v>52</v>
      </c>
      <c r="H662" s="96">
        <f>IF(G662="CORTESIA",0,D662*F662)</f>
      </c>
      <c r="I662" s="147" t="s">
        <v>50</v>
      </c>
      <c r="J662" s="149" t="s">
        <v>184</v>
      </c>
      <c r="K662" s="147"/>
      <c r="L662" s="1"/>
      <c r="M662" s="1"/>
      <c r="N662" s="3"/>
    </row>
    <row x14ac:dyDescent="0.25" r="663" customHeight="1" ht="18.75" hidden="1">
      <c r="A663" s="65" t="s">
        <v>188</v>
      </c>
      <c r="B663" s="155" t="s">
        <v>365</v>
      </c>
      <c r="C663" s="160">
        <f>VLOOKUP(B663,CONFIGURAÇÃO!H:I,2,FALSE)</f>
      </c>
      <c r="D663" s="66">
        <v>1</v>
      </c>
      <c r="E663" s="147" t="s">
        <v>171</v>
      </c>
      <c r="F663" s="96">
        <f>VLOOKUP(E663,CONFIGURAÇÃO!E:F,2,0)</f>
      </c>
      <c r="G663" s="147" t="s">
        <v>73</v>
      </c>
      <c r="H663" s="96">
        <f>IF(G663="CORTESIA",0,D663*F663)</f>
      </c>
      <c r="I663" s="147" t="s">
        <v>19</v>
      </c>
      <c r="J663" s="149" t="s">
        <v>184</v>
      </c>
      <c r="K663" s="147"/>
      <c r="L663" s="1"/>
      <c r="M663" s="1"/>
      <c r="N663" s="3"/>
    </row>
    <row x14ac:dyDescent="0.25" r="664" customHeight="1" ht="18.75" hidden="1">
      <c r="A664" s="65" t="s">
        <v>159</v>
      </c>
      <c r="B664" s="155" t="s">
        <v>365</v>
      </c>
      <c r="C664" s="160">
        <f>VLOOKUP(B664,CONFIGURAÇÃO!H:I,2,FALSE)</f>
      </c>
      <c r="D664" s="66">
        <v>1</v>
      </c>
      <c r="E664" s="147" t="s">
        <v>78</v>
      </c>
      <c r="F664" s="96">
        <f>VLOOKUP(E664,CONFIGURAÇÃO!E:F,2,0)</f>
      </c>
      <c r="G664" s="147" t="s">
        <v>73</v>
      </c>
      <c r="H664" s="96">
        <f>IF(G664="CORTESIA",0,D664*F664)</f>
      </c>
      <c r="I664" s="147" t="s">
        <v>19</v>
      </c>
      <c r="J664" s="149" t="s">
        <v>184</v>
      </c>
      <c r="K664" s="147"/>
      <c r="L664" s="1"/>
      <c r="M664" s="1"/>
      <c r="N664" s="3"/>
    </row>
    <row x14ac:dyDescent="0.25" r="665" customHeight="1" ht="18.75" hidden="1">
      <c r="A665" s="65" t="s">
        <v>160</v>
      </c>
      <c r="B665" s="155" t="s">
        <v>365</v>
      </c>
      <c r="C665" s="160">
        <f>VLOOKUP(B665,CONFIGURAÇÃO!H:I,2,FALSE)</f>
      </c>
      <c r="D665" s="66">
        <v>1</v>
      </c>
      <c r="E665" s="147" t="s">
        <v>183</v>
      </c>
      <c r="F665" s="96">
        <f>VLOOKUP(E665,CONFIGURAÇÃO!E:F,2,0)</f>
      </c>
      <c r="G665" s="147" t="s">
        <v>73</v>
      </c>
      <c r="H665" s="96">
        <f>IF(G665="CORTESIA",0,D665*F665)</f>
      </c>
      <c r="I665" s="147" t="s">
        <v>19</v>
      </c>
      <c r="J665" s="149" t="s">
        <v>184</v>
      </c>
      <c r="K665" s="147"/>
      <c r="L665" s="1"/>
      <c r="M665" s="1"/>
      <c r="N665" s="3"/>
    </row>
    <row x14ac:dyDescent="0.25" r="666" customHeight="1" ht="18.75" hidden="1">
      <c r="A666" s="67" t="s">
        <v>198</v>
      </c>
      <c r="B666" s="154" t="s">
        <v>365</v>
      </c>
      <c r="C666" s="160">
        <f>VLOOKUP(B666,CONFIGURAÇÃO!H:I,2,FALSE)</f>
      </c>
      <c r="D666" s="148">
        <v>2</v>
      </c>
      <c r="E666" s="149" t="s">
        <v>183</v>
      </c>
      <c r="F666" s="96">
        <f>VLOOKUP(E666,CONFIGURAÇÃO!E:F,2,0)</f>
      </c>
      <c r="G666" s="147" t="s">
        <v>73</v>
      </c>
      <c r="H666" s="96">
        <f>IF(G666="CORTESIA",0,D666*F666)</f>
      </c>
      <c r="I666" s="147" t="s">
        <v>50</v>
      </c>
      <c r="J666" s="149" t="s">
        <v>184</v>
      </c>
      <c r="K666" s="147"/>
      <c r="L666" s="1"/>
      <c r="M666" s="1"/>
      <c r="N666" s="3"/>
    </row>
    <row x14ac:dyDescent="0.25" r="667" customHeight="1" ht="18.75" hidden="1">
      <c r="A667" s="67" t="s">
        <v>188</v>
      </c>
      <c r="B667" s="154" t="s">
        <v>365</v>
      </c>
      <c r="C667" s="160">
        <f>VLOOKUP(B667,CONFIGURAÇÃO!H:I,2,FALSE)</f>
      </c>
      <c r="D667" s="148">
        <v>1</v>
      </c>
      <c r="E667" s="149" t="s">
        <v>171</v>
      </c>
      <c r="F667" s="96">
        <f>VLOOKUP(E667,CONFIGURAÇÃO!E:F,2,0)</f>
      </c>
      <c r="G667" s="147" t="s">
        <v>73</v>
      </c>
      <c r="H667" s="96">
        <f>IF(G667="CORTESIA",0,D667*F667)</f>
      </c>
      <c r="I667" s="147" t="s">
        <v>50</v>
      </c>
      <c r="J667" s="149" t="s">
        <v>184</v>
      </c>
      <c r="K667" s="147"/>
      <c r="L667" s="1"/>
      <c r="M667" s="1"/>
      <c r="N667" s="3"/>
    </row>
    <row x14ac:dyDescent="0.25" r="668" customHeight="1" ht="18.75" hidden="1">
      <c r="A668" s="67" t="s">
        <v>179</v>
      </c>
      <c r="B668" s="154" t="s">
        <v>365</v>
      </c>
      <c r="C668" s="160">
        <f>VLOOKUP(B668,CONFIGURAÇÃO!H:I,2,FALSE)</f>
      </c>
      <c r="D668" s="148">
        <v>1</v>
      </c>
      <c r="E668" s="149" t="s">
        <v>78</v>
      </c>
      <c r="F668" s="96">
        <f>VLOOKUP(E668,CONFIGURAÇÃO!E:F,2,0)</f>
      </c>
      <c r="G668" s="147" t="s">
        <v>73</v>
      </c>
      <c r="H668" s="96">
        <f>IF(G668="CORTESIA",0,D668*F668)</f>
      </c>
      <c r="I668" s="147" t="s">
        <v>50</v>
      </c>
      <c r="J668" s="149" t="s">
        <v>184</v>
      </c>
      <c r="K668" s="147"/>
      <c r="L668" s="1"/>
      <c r="M668" s="1"/>
      <c r="N668" s="3"/>
    </row>
    <row x14ac:dyDescent="0.25" r="669" customHeight="1" ht="18.75" hidden="1">
      <c r="A669" s="65" t="s">
        <v>180</v>
      </c>
      <c r="B669" s="155" t="s">
        <v>365</v>
      </c>
      <c r="C669" s="160">
        <f>VLOOKUP(B669,CONFIGURAÇÃO!H:I,2,FALSE)</f>
      </c>
      <c r="D669" s="66">
        <v>1</v>
      </c>
      <c r="E669" s="147" t="s">
        <v>78</v>
      </c>
      <c r="F669" s="96">
        <f>VLOOKUP(E669,CONFIGURAÇÃO!E:F,2,0)</f>
      </c>
      <c r="G669" s="147" t="s">
        <v>73</v>
      </c>
      <c r="H669" s="96">
        <f>IF(G669="CORTESIA",0,D669*F669)</f>
      </c>
      <c r="I669" s="147" t="s">
        <v>50</v>
      </c>
      <c r="J669" s="149" t="s">
        <v>74</v>
      </c>
      <c r="K669" s="147"/>
      <c r="L669" s="1"/>
      <c r="M669" s="1"/>
      <c r="N669" s="3"/>
    </row>
    <row x14ac:dyDescent="0.25" r="670" customHeight="1" ht="18.75" hidden="1">
      <c r="A670" s="67" t="s">
        <v>189</v>
      </c>
      <c r="B670" s="154" t="s">
        <v>365</v>
      </c>
      <c r="C670" s="160">
        <f>VLOOKUP(B670,CONFIGURAÇÃO!H:I,2,FALSE)</f>
      </c>
      <c r="D670" s="148">
        <v>1</v>
      </c>
      <c r="E670" s="149" t="s">
        <v>72</v>
      </c>
      <c r="F670" s="96">
        <f>VLOOKUP(E670,CONFIGURAÇÃO!E:F,2,0)</f>
      </c>
      <c r="G670" s="147" t="s">
        <v>73</v>
      </c>
      <c r="H670" s="96">
        <f>IF(G670="CORTESIA",0,D670*F670)</f>
      </c>
      <c r="I670" s="147" t="s">
        <v>19</v>
      </c>
      <c r="J670" s="149" t="s">
        <v>74</v>
      </c>
      <c r="K670" s="147"/>
      <c r="L670" s="1"/>
      <c r="M670" s="1"/>
      <c r="N670" s="3"/>
    </row>
    <row x14ac:dyDescent="0.25" r="671" customHeight="1" ht="18.75" hidden="1">
      <c r="A671" s="67" t="s">
        <v>189</v>
      </c>
      <c r="B671" s="154" t="s">
        <v>365</v>
      </c>
      <c r="C671" s="160">
        <f>VLOOKUP(B671,CONFIGURAÇÃO!H:I,2,FALSE)</f>
      </c>
      <c r="D671" s="148">
        <v>1</v>
      </c>
      <c r="E671" s="149" t="s">
        <v>78</v>
      </c>
      <c r="F671" s="96">
        <f>VLOOKUP(E671,CONFIGURAÇÃO!E:F,2,0)</f>
      </c>
      <c r="G671" s="147" t="s">
        <v>73</v>
      </c>
      <c r="H671" s="96">
        <f>IF(G671="CORTESIA",0,D671*F671)</f>
      </c>
      <c r="I671" s="147" t="s">
        <v>19</v>
      </c>
      <c r="J671" s="149" t="s">
        <v>74</v>
      </c>
      <c r="K671" s="147"/>
      <c r="L671" s="1"/>
      <c r="M671" s="1"/>
      <c r="N671" s="3"/>
    </row>
    <row x14ac:dyDescent="0.25" r="672" customHeight="1" ht="18.75" hidden="1">
      <c r="A672" s="67" t="s">
        <v>172</v>
      </c>
      <c r="B672" s="154" t="s">
        <v>366</v>
      </c>
      <c r="C672" s="160">
        <f>VLOOKUP(B672,CONFIGURAÇÃO!H:I,2,FALSE)</f>
      </c>
      <c r="D672" s="148">
        <v>1</v>
      </c>
      <c r="E672" s="149" t="s">
        <v>183</v>
      </c>
      <c r="F672" s="96">
        <f>VLOOKUP(E672,CONFIGURAÇÃO!E:F,2,0)</f>
      </c>
      <c r="G672" s="147" t="s">
        <v>73</v>
      </c>
      <c r="H672" s="96">
        <f>IF(G672="CORTESIA",0,D672*F672)</f>
      </c>
      <c r="I672" s="147" t="s">
        <v>50</v>
      </c>
      <c r="J672" s="149" t="s">
        <v>184</v>
      </c>
      <c r="K672" s="147"/>
      <c r="L672" s="1"/>
      <c r="M672" s="1"/>
      <c r="N672" s="3"/>
    </row>
    <row x14ac:dyDescent="0.25" r="673" customHeight="1" ht="18.75" hidden="1">
      <c r="A673" s="65" t="s">
        <v>188</v>
      </c>
      <c r="B673" s="155" t="s">
        <v>367</v>
      </c>
      <c r="C673" s="160">
        <f>VLOOKUP(B673,CONFIGURAÇÃO!H:I,2,FALSE)</f>
      </c>
      <c r="D673" s="66">
        <v>1</v>
      </c>
      <c r="E673" s="147" t="s">
        <v>171</v>
      </c>
      <c r="F673" s="96">
        <f>VLOOKUP(E673,CONFIGURAÇÃO!E:F,2,0)</f>
      </c>
      <c r="G673" s="147" t="s">
        <v>13</v>
      </c>
      <c r="H673" s="96">
        <f>IF(G673="CORTESIA",0,D673*F673)</f>
      </c>
      <c r="I673" s="147" t="s">
        <v>19</v>
      </c>
      <c r="J673" s="149" t="s">
        <v>184</v>
      </c>
      <c r="K673" s="147"/>
      <c r="L673" s="1"/>
      <c r="M673" s="1"/>
      <c r="N673" s="3"/>
    </row>
    <row x14ac:dyDescent="0.25" r="674" customHeight="1" ht="18.75" hidden="1">
      <c r="A674" s="65" t="s">
        <v>172</v>
      </c>
      <c r="B674" s="155" t="s">
        <v>367</v>
      </c>
      <c r="C674" s="160">
        <f>VLOOKUP(B674,CONFIGURAÇÃO!H:I,2,FALSE)</f>
      </c>
      <c r="D674" s="66">
        <v>1</v>
      </c>
      <c r="E674" s="147" t="s">
        <v>183</v>
      </c>
      <c r="F674" s="96">
        <f>VLOOKUP(E674,CONFIGURAÇÃO!E:F,2,0)</f>
      </c>
      <c r="G674" s="147" t="s">
        <v>13</v>
      </c>
      <c r="H674" s="96">
        <f>IF(G674="CORTESIA",0,D674*F674)</f>
      </c>
      <c r="I674" s="147" t="s">
        <v>19</v>
      </c>
      <c r="J674" s="149" t="s">
        <v>184</v>
      </c>
      <c r="K674" s="147"/>
      <c r="L674" s="1"/>
      <c r="M674" s="1"/>
      <c r="N674" s="3"/>
    </row>
    <row x14ac:dyDescent="0.25" r="675" customHeight="1" ht="18.75" hidden="1">
      <c r="A675" s="67" t="s">
        <v>198</v>
      </c>
      <c r="B675" s="154" t="s">
        <v>367</v>
      </c>
      <c r="C675" s="160">
        <f>VLOOKUP(B675,CONFIGURAÇÃO!H:I,2,FALSE)</f>
      </c>
      <c r="D675" s="148">
        <v>1</v>
      </c>
      <c r="E675" s="149" t="s">
        <v>183</v>
      </c>
      <c r="F675" s="96">
        <f>VLOOKUP(E675,CONFIGURAÇÃO!E:F,2,0)</f>
      </c>
      <c r="G675" s="147" t="s">
        <v>73</v>
      </c>
      <c r="H675" s="96">
        <f>IF(G675="CORTESIA",0,D675*F675)</f>
      </c>
      <c r="I675" s="147" t="s">
        <v>50</v>
      </c>
      <c r="J675" s="149" t="s">
        <v>184</v>
      </c>
      <c r="K675" s="147"/>
      <c r="L675" s="1"/>
      <c r="M675" s="1"/>
      <c r="N675" s="3"/>
    </row>
    <row x14ac:dyDescent="0.25" r="676" customHeight="1" ht="18.75">
      <c r="A676" s="67">
        <v>45749</v>
      </c>
      <c r="B676" s="154" t="s">
        <v>176</v>
      </c>
      <c r="C676" s="160">
        <f>VLOOKUP(B676,CONFIGURAÇÃO!H:I,2,FALSE)</f>
      </c>
      <c r="D676" s="148">
        <v>1</v>
      </c>
      <c r="E676" s="149" t="s">
        <v>183</v>
      </c>
      <c r="F676" s="96">
        <f>VLOOKUP(E676,CONFIGURAÇÃO!E:F,2,0)</f>
      </c>
      <c r="G676" s="147" t="s">
        <v>291</v>
      </c>
      <c r="H676" s="96">
        <f>IF(G676="CORTESIA",0,D676*F676)</f>
      </c>
      <c r="I676" s="147" t="s">
        <v>19</v>
      </c>
      <c r="J676" s="149" t="s">
        <v>184</v>
      </c>
      <c r="K676" s="147" t="s">
        <v>234</v>
      </c>
      <c r="L676" s="1"/>
      <c r="M676" s="1"/>
      <c r="N676" s="3"/>
    </row>
    <row x14ac:dyDescent="0.25" r="677" customHeight="1" ht="18.75">
      <c r="A677" s="65" t="s">
        <v>177</v>
      </c>
      <c r="B677" s="155" t="s">
        <v>176</v>
      </c>
      <c r="C677" s="160">
        <f>VLOOKUP(B677,CONFIGURAÇÃO!H:I,2,FALSE)</f>
      </c>
      <c r="D677" s="66">
        <v>2</v>
      </c>
      <c r="E677" s="147" t="s">
        <v>78</v>
      </c>
      <c r="F677" s="96">
        <f>VLOOKUP(E677,CONFIGURAÇÃO!E:F,2,0)</f>
      </c>
      <c r="G677" s="147" t="s">
        <v>291</v>
      </c>
      <c r="H677" s="96">
        <f>IF(G677="CORTESIA",0,D677*F677)</f>
      </c>
      <c r="I677" s="147" t="s">
        <v>19</v>
      </c>
      <c r="J677" s="149" t="s">
        <v>184</v>
      </c>
      <c r="K677" s="147" t="s">
        <v>234</v>
      </c>
      <c r="L677" s="1"/>
      <c r="M677" s="1"/>
      <c r="N677" s="3"/>
    </row>
    <row x14ac:dyDescent="0.25" r="678" customHeight="1" ht="18.75">
      <c r="A678" s="65" t="s">
        <v>159</v>
      </c>
      <c r="B678" s="155" t="s">
        <v>176</v>
      </c>
      <c r="C678" s="160">
        <f>VLOOKUP(B678,CONFIGURAÇÃO!H:I,2,FALSE)</f>
      </c>
      <c r="D678" s="66">
        <v>2</v>
      </c>
      <c r="E678" s="147" t="s">
        <v>78</v>
      </c>
      <c r="F678" s="96">
        <f>VLOOKUP(E678,CONFIGURAÇÃO!E:F,2,0)</f>
      </c>
      <c r="G678" s="147" t="s">
        <v>291</v>
      </c>
      <c r="H678" s="96">
        <f>IF(G678="CORTESIA",0,D678*F678)</f>
      </c>
      <c r="I678" s="147" t="s">
        <v>19</v>
      </c>
      <c r="J678" s="149" t="s">
        <v>184</v>
      </c>
      <c r="K678" s="147" t="s">
        <v>234</v>
      </c>
      <c r="L678" s="1"/>
      <c r="M678" s="1"/>
      <c r="N678" s="3"/>
    </row>
    <row x14ac:dyDescent="0.25" r="679" customHeight="1" ht="18.75">
      <c r="A679" s="65" t="s">
        <v>159</v>
      </c>
      <c r="B679" s="155" t="s">
        <v>176</v>
      </c>
      <c r="C679" s="160">
        <f>VLOOKUP(B679,CONFIGURAÇÃO!H:I,2,FALSE)</f>
      </c>
      <c r="D679" s="66">
        <v>1</v>
      </c>
      <c r="E679" s="147" t="s">
        <v>72</v>
      </c>
      <c r="F679" s="96">
        <f>VLOOKUP(E679,CONFIGURAÇÃO!E:F,2,0)</f>
      </c>
      <c r="G679" s="147" t="s">
        <v>291</v>
      </c>
      <c r="H679" s="96">
        <f>IF(G679="CORTESIA",0,D679*F679)</f>
      </c>
      <c r="I679" s="147" t="s">
        <v>19</v>
      </c>
      <c r="J679" s="149" t="s">
        <v>184</v>
      </c>
      <c r="K679" s="147" t="s">
        <v>234</v>
      </c>
      <c r="L679" s="1"/>
      <c r="M679" s="1"/>
      <c r="N679" s="3"/>
    </row>
    <row x14ac:dyDescent="0.25" r="680" customHeight="1" ht="18.75" hidden="1">
      <c r="A680" s="65" t="s">
        <v>160</v>
      </c>
      <c r="B680" s="155" t="s">
        <v>176</v>
      </c>
      <c r="C680" s="160">
        <f>VLOOKUP(B680,CONFIGURAÇÃO!H:I,2,FALSE)</f>
      </c>
      <c r="D680" s="66">
        <v>2</v>
      </c>
      <c r="E680" s="147" t="s">
        <v>183</v>
      </c>
      <c r="F680" s="96">
        <f>VLOOKUP(E680,CONFIGURAÇÃO!E:F,2,0)</f>
      </c>
      <c r="G680" s="147" t="s">
        <v>13</v>
      </c>
      <c r="H680" s="96">
        <f>IF(G680="CORTESIA",0,D680*F680)</f>
      </c>
      <c r="I680" s="147" t="s">
        <v>19</v>
      </c>
      <c r="J680" s="149" t="s">
        <v>184</v>
      </c>
      <c r="K680" s="147" t="s">
        <v>234</v>
      </c>
      <c r="L680" s="1"/>
      <c r="M680" s="1"/>
      <c r="N680" s="3"/>
    </row>
    <row x14ac:dyDescent="0.25" r="681" customHeight="1" ht="18.75" hidden="1">
      <c r="A681" s="67" t="s">
        <v>205</v>
      </c>
      <c r="B681" s="154" t="s">
        <v>176</v>
      </c>
      <c r="C681" s="160">
        <f>VLOOKUP(B681,CONFIGURAÇÃO!H:I,2,FALSE)</f>
      </c>
      <c r="D681" s="148">
        <v>1</v>
      </c>
      <c r="E681" s="149" t="s">
        <v>72</v>
      </c>
      <c r="F681" s="96">
        <f>VLOOKUP(E681,CONFIGURAÇÃO!E:F,2,0)</f>
      </c>
      <c r="G681" s="147" t="s">
        <v>13</v>
      </c>
      <c r="H681" s="96">
        <f>IF(G681="CORTESIA",0,D681*F681)+5</f>
      </c>
      <c r="I681" s="147" t="s">
        <v>19</v>
      </c>
      <c r="J681" s="149" t="s">
        <v>184</v>
      </c>
      <c r="K681" s="147" t="s">
        <v>292</v>
      </c>
      <c r="L681" s="1"/>
      <c r="M681" s="1"/>
      <c r="N681" s="3"/>
    </row>
    <row x14ac:dyDescent="0.25" r="682" customHeight="1" ht="18.75" hidden="1">
      <c r="A682" s="67" t="s">
        <v>162</v>
      </c>
      <c r="B682" s="154" t="s">
        <v>176</v>
      </c>
      <c r="C682" s="160">
        <f>VLOOKUP(B682,CONFIGURAÇÃO!H:I,2,FALSE)</f>
      </c>
      <c r="D682" s="148">
        <v>2</v>
      </c>
      <c r="E682" s="149" t="s">
        <v>183</v>
      </c>
      <c r="F682" s="96">
        <f>VLOOKUP(E682,CONFIGURAÇÃO!E:F,2,0)</f>
      </c>
      <c r="G682" s="147" t="s">
        <v>13</v>
      </c>
      <c r="H682" s="96">
        <f>IF(G682="CORTESIA",0,D682*F682)</f>
      </c>
      <c r="I682" s="147" t="s">
        <v>19</v>
      </c>
      <c r="J682" s="149" t="s">
        <v>184</v>
      </c>
      <c r="K682" s="147" t="s">
        <v>234</v>
      </c>
      <c r="L682" s="1"/>
      <c r="M682" s="1"/>
      <c r="N682" s="3"/>
    </row>
    <row x14ac:dyDescent="0.25" r="683" customHeight="1" ht="18.75" hidden="1">
      <c r="A683" s="67" t="s">
        <v>163</v>
      </c>
      <c r="B683" s="154" t="s">
        <v>176</v>
      </c>
      <c r="C683" s="160">
        <f>VLOOKUP(B683,CONFIGURAÇÃO!H:I,2,FALSE)</f>
      </c>
      <c r="D683" s="148">
        <v>1</v>
      </c>
      <c r="E683" s="149" t="s">
        <v>183</v>
      </c>
      <c r="F683" s="96">
        <f>VLOOKUP(E683,CONFIGURAÇÃO!E:F,2,0)</f>
      </c>
      <c r="G683" s="147" t="s">
        <v>13</v>
      </c>
      <c r="H683" s="96">
        <f>IF(G683="CORTESIA",0,D683*F683)</f>
      </c>
      <c r="I683" s="147" t="s">
        <v>19</v>
      </c>
      <c r="J683" s="149" t="s">
        <v>184</v>
      </c>
      <c r="K683" s="147" t="s">
        <v>234</v>
      </c>
      <c r="L683" s="1"/>
      <c r="M683" s="1"/>
      <c r="N683" s="3"/>
    </row>
    <row x14ac:dyDescent="0.25" r="684" customHeight="1" ht="18.75" hidden="1">
      <c r="A684" s="65" t="s">
        <v>164</v>
      </c>
      <c r="B684" s="155" t="s">
        <v>176</v>
      </c>
      <c r="C684" s="160">
        <f>VLOOKUP(B684,CONFIGURAÇÃO!H:I,2,FALSE)</f>
      </c>
      <c r="D684" s="66">
        <v>1</v>
      </c>
      <c r="E684" s="147" t="s">
        <v>78</v>
      </c>
      <c r="F684" s="96">
        <f>VLOOKUP(E684,CONFIGURAÇÃO!E:F,2,0)</f>
      </c>
      <c r="G684" s="147" t="s">
        <v>13</v>
      </c>
      <c r="H684" s="96">
        <f>IF(G684="CORTESIA",0,D684*F684)</f>
      </c>
      <c r="I684" s="147" t="s">
        <v>50</v>
      </c>
      <c r="J684" s="147"/>
      <c r="K684" s="147"/>
      <c r="L684" s="1"/>
      <c r="M684" s="1"/>
      <c r="N684" s="3"/>
    </row>
    <row x14ac:dyDescent="0.25" r="685" customHeight="1" ht="18.75">
      <c r="A685" s="67" t="s">
        <v>178</v>
      </c>
      <c r="B685" s="154" t="s">
        <v>176</v>
      </c>
      <c r="C685" s="160">
        <f>VLOOKUP(B685,CONFIGURAÇÃO!H:I,2,FALSE)</f>
      </c>
      <c r="D685" s="148">
        <v>1</v>
      </c>
      <c r="E685" s="149" t="s">
        <v>72</v>
      </c>
      <c r="F685" s="96">
        <f>VLOOKUP(E685,CONFIGURAÇÃO!E:F,2,0)</f>
      </c>
      <c r="G685" s="147" t="s">
        <v>291</v>
      </c>
      <c r="H685" s="96">
        <f>IF(G685="CORTESIA",0,D685*F685)-5</f>
      </c>
      <c r="I685" s="147" t="s">
        <v>50</v>
      </c>
      <c r="J685" s="149" t="s">
        <v>184</v>
      </c>
      <c r="K685" s="147" t="s">
        <v>292</v>
      </c>
      <c r="L685" s="1"/>
      <c r="M685" s="1"/>
      <c r="N685" s="3"/>
    </row>
    <row x14ac:dyDescent="0.25" r="686" customHeight="1" ht="18.75">
      <c r="A686" s="67" t="s">
        <v>179</v>
      </c>
      <c r="B686" s="154" t="s">
        <v>176</v>
      </c>
      <c r="C686" s="160">
        <f>VLOOKUP(B686,CONFIGURAÇÃO!H:I,2,FALSE)</f>
      </c>
      <c r="D686" s="148">
        <v>1</v>
      </c>
      <c r="E686" s="149" t="s">
        <v>78</v>
      </c>
      <c r="F686" s="96">
        <f>VLOOKUP(E686,CONFIGURAÇÃO!E:F,2,0)</f>
      </c>
      <c r="G686" s="147" t="s">
        <v>291</v>
      </c>
      <c r="H686" s="96">
        <f>IF(G686="CORTESIA",0,D686*F686)</f>
      </c>
      <c r="I686" s="147" t="s">
        <v>50</v>
      </c>
      <c r="J686" s="149" t="s">
        <v>184</v>
      </c>
      <c r="K686" s="147"/>
      <c r="L686" s="1"/>
      <c r="M686" s="1"/>
      <c r="N686" s="3"/>
    </row>
    <row x14ac:dyDescent="0.25" r="687" customHeight="1" ht="18.75" hidden="1">
      <c r="A687" s="67" t="s">
        <v>198</v>
      </c>
      <c r="B687" s="154" t="s">
        <v>368</v>
      </c>
      <c r="C687" s="160">
        <f>VLOOKUP(B687,CONFIGURAÇÃO!H:I,2,FALSE)</f>
      </c>
      <c r="D687" s="148">
        <v>1</v>
      </c>
      <c r="E687" s="149" t="s">
        <v>183</v>
      </c>
      <c r="F687" s="96">
        <f>VLOOKUP(E687,CONFIGURAÇÃO!E:F,2,0)</f>
      </c>
      <c r="G687" s="147" t="s">
        <v>73</v>
      </c>
      <c r="H687" s="96">
        <f>IF(G687="CORTESIA",0,D687*F687)</f>
      </c>
      <c r="I687" s="147" t="s">
        <v>50</v>
      </c>
      <c r="J687" s="149" t="s">
        <v>184</v>
      </c>
      <c r="K687" s="147"/>
      <c r="L687" s="1"/>
      <c r="M687" s="1"/>
      <c r="N687" s="3"/>
    </row>
    <row x14ac:dyDescent="0.25" r="688" customHeight="1" ht="18.75" hidden="1">
      <c r="A688" s="67">
        <v>45748</v>
      </c>
      <c r="B688" s="154" t="s">
        <v>122</v>
      </c>
      <c r="C688" s="160">
        <f>VLOOKUP(B688,CONFIGURAÇÃO!H:I,2,FALSE)</f>
      </c>
      <c r="D688" s="148">
        <v>1</v>
      </c>
      <c r="E688" s="149" t="s">
        <v>72</v>
      </c>
      <c r="F688" s="96">
        <f>VLOOKUP(E688,CONFIGURAÇÃO!E:F,2,0)</f>
      </c>
      <c r="G688" s="147" t="s">
        <v>13</v>
      </c>
      <c r="H688" s="96">
        <f>IF(G688="CORTESIA",0,D688*F688)</f>
      </c>
      <c r="I688" s="147" t="s">
        <v>22</v>
      </c>
      <c r="J688" s="149" t="s">
        <v>184</v>
      </c>
      <c r="K688" s="147"/>
      <c r="L688" s="1"/>
      <c r="M688" s="1"/>
      <c r="N688" s="3"/>
    </row>
    <row x14ac:dyDescent="0.25" r="689" customHeight="1" ht="18.75" hidden="1">
      <c r="A689" s="65" t="s">
        <v>188</v>
      </c>
      <c r="B689" s="154" t="s">
        <v>122</v>
      </c>
      <c r="C689" s="160">
        <f>VLOOKUP(B689,CONFIGURAÇÃO!H:I,2,FALSE)</f>
      </c>
      <c r="D689" s="66">
        <v>2</v>
      </c>
      <c r="E689" s="147" t="s">
        <v>72</v>
      </c>
      <c r="F689" s="96">
        <f>VLOOKUP(E689,CONFIGURAÇÃO!E:F,2,0)</f>
      </c>
      <c r="G689" s="147" t="s">
        <v>13</v>
      </c>
      <c r="H689" s="96">
        <f>IF(G689="CORTESIA",0,D689*F689)</f>
      </c>
      <c r="I689" s="147" t="s">
        <v>22</v>
      </c>
      <c r="J689" s="149" t="s">
        <v>184</v>
      </c>
      <c r="K689" s="147"/>
      <c r="L689" s="1"/>
      <c r="M689" s="1"/>
      <c r="N689" s="3"/>
    </row>
    <row x14ac:dyDescent="0.25" r="690" customHeight="1" ht="18.75" hidden="1">
      <c r="A690" s="65" t="s">
        <v>159</v>
      </c>
      <c r="B690" s="154" t="s">
        <v>122</v>
      </c>
      <c r="C690" s="160">
        <f>VLOOKUP(B690,CONFIGURAÇÃO!H:I,2,FALSE)</f>
      </c>
      <c r="D690" s="66">
        <v>1</v>
      </c>
      <c r="E690" s="147" t="s">
        <v>72</v>
      </c>
      <c r="F690" s="96">
        <f>VLOOKUP(E690,CONFIGURAÇÃO!E:F,2,0)</f>
      </c>
      <c r="G690" s="147" t="s">
        <v>13</v>
      </c>
      <c r="H690" s="96">
        <f>IF(G690="CORTESIA",0,D690*F690)</f>
      </c>
      <c r="I690" s="147" t="s">
        <v>22</v>
      </c>
      <c r="J690" s="149" t="s">
        <v>184</v>
      </c>
      <c r="K690" s="147"/>
      <c r="L690" s="1"/>
      <c r="M690" s="1"/>
      <c r="N690" s="3"/>
    </row>
    <row x14ac:dyDescent="0.25" r="691" customHeight="1" ht="18.75" hidden="1">
      <c r="A691" s="65" t="s">
        <v>205</v>
      </c>
      <c r="B691" s="154" t="s">
        <v>122</v>
      </c>
      <c r="C691" s="160">
        <f>VLOOKUP(B691,CONFIGURAÇÃO!H:I,2,FALSE)</f>
      </c>
      <c r="D691" s="66">
        <v>1</v>
      </c>
      <c r="E691" s="147" t="s">
        <v>72</v>
      </c>
      <c r="F691" s="96">
        <f>VLOOKUP(E691,CONFIGURAÇÃO!E:F,2,0)</f>
      </c>
      <c r="G691" s="147" t="s">
        <v>52</v>
      </c>
      <c r="H691" s="96">
        <f>IF(G691="CORTESIA",0,D691*F691)</f>
      </c>
      <c r="I691" s="147" t="s">
        <v>22</v>
      </c>
      <c r="J691" s="149" t="s">
        <v>184</v>
      </c>
      <c r="K691" s="147"/>
      <c r="L691" s="1"/>
      <c r="M691" s="1"/>
      <c r="N691" s="3"/>
    </row>
    <row x14ac:dyDescent="0.25" r="692" customHeight="1" ht="18.75" hidden="1">
      <c r="A692" s="67" t="s">
        <v>162</v>
      </c>
      <c r="B692" s="154" t="s">
        <v>122</v>
      </c>
      <c r="C692" s="160">
        <f>VLOOKUP(B692,CONFIGURAÇÃO!H:I,2,FALSE)</f>
      </c>
      <c r="D692" s="148">
        <v>1</v>
      </c>
      <c r="E692" s="149" t="s">
        <v>72</v>
      </c>
      <c r="F692" s="96">
        <f>VLOOKUP(E692,CONFIGURAÇÃO!E:F,2,0)</f>
      </c>
      <c r="G692" s="147" t="s">
        <v>13</v>
      </c>
      <c r="H692" s="96">
        <f>IF(G692="CORTESIA",0,D692*F692)</f>
      </c>
      <c r="I692" s="147" t="s">
        <v>22</v>
      </c>
      <c r="J692" s="149" t="s">
        <v>184</v>
      </c>
      <c r="K692" s="147"/>
      <c r="L692" s="1"/>
      <c r="M692" s="1"/>
      <c r="N692" s="3"/>
    </row>
    <row x14ac:dyDescent="0.25" r="693" customHeight="1" ht="18.75" hidden="1">
      <c r="A693" s="65">
        <v>45733</v>
      </c>
      <c r="B693" s="155" t="s">
        <v>369</v>
      </c>
      <c r="C693" s="160">
        <f>VLOOKUP(B693,CONFIGURAÇÃO!H:I,2,FALSE)</f>
      </c>
      <c r="D693" s="66">
        <v>1</v>
      </c>
      <c r="E693" s="147" t="s">
        <v>183</v>
      </c>
      <c r="F693" s="96">
        <f>VLOOKUP(E693,CONFIGURAÇÃO!E:F,2,0)</f>
      </c>
      <c r="G693" s="147" t="s">
        <v>13</v>
      </c>
      <c r="H693" s="96">
        <f>IF(G693="CORTESIA",0,D693*F693)</f>
      </c>
      <c r="I693" s="147" t="s">
        <v>22</v>
      </c>
      <c r="J693" s="149" t="s">
        <v>184</v>
      </c>
      <c r="K693" s="147"/>
      <c r="L693" s="1"/>
      <c r="M693" s="1"/>
      <c r="N693" s="3"/>
    </row>
    <row x14ac:dyDescent="0.25" r="694" customHeight="1" ht="18.75" hidden="1">
      <c r="A694" s="65" t="s">
        <v>172</v>
      </c>
      <c r="B694" s="155" t="s">
        <v>369</v>
      </c>
      <c r="C694" s="160">
        <f>VLOOKUP(B694,CONFIGURAÇÃO!H:I,2,FALSE)</f>
      </c>
      <c r="D694" s="66">
        <v>2</v>
      </c>
      <c r="E694" s="147" t="s">
        <v>78</v>
      </c>
      <c r="F694" s="96">
        <f>VLOOKUP(E694,CONFIGURAÇÃO!E:F,2,0)</f>
      </c>
      <c r="G694" s="147" t="s">
        <v>13</v>
      </c>
      <c r="H694" s="96">
        <f>IF(G694="CORTESIA",0,D694*F694)</f>
      </c>
      <c r="I694" s="147" t="s">
        <v>22</v>
      </c>
      <c r="J694" s="149" t="s">
        <v>184</v>
      </c>
      <c r="K694" s="147"/>
      <c r="L694" s="1"/>
      <c r="M694" s="1"/>
      <c r="N694" s="3"/>
    </row>
    <row x14ac:dyDescent="0.25" r="695" customHeight="1" ht="18.75" hidden="1">
      <c r="A695" s="65" t="s">
        <v>159</v>
      </c>
      <c r="B695" s="155" t="s">
        <v>369</v>
      </c>
      <c r="C695" s="160">
        <f>VLOOKUP(B695,CONFIGURAÇÃO!H:I,2,FALSE)</f>
      </c>
      <c r="D695" s="66">
        <v>1</v>
      </c>
      <c r="E695" s="147" t="s">
        <v>78</v>
      </c>
      <c r="F695" s="96">
        <f>VLOOKUP(E695,CONFIGURAÇÃO!E:F,2,0)</f>
      </c>
      <c r="G695" s="147" t="s">
        <v>13</v>
      </c>
      <c r="H695" s="96">
        <f>IF(G695="CORTESIA",0,D695*F695)</f>
      </c>
      <c r="I695" s="147" t="s">
        <v>22</v>
      </c>
      <c r="J695" s="149" t="s">
        <v>184</v>
      </c>
      <c r="K695" s="147"/>
      <c r="L695" s="1"/>
      <c r="M695" s="1"/>
      <c r="N695" s="3"/>
    </row>
    <row x14ac:dyDescent="0.25" r="696" customHeight="1" ht="18.75" hidden="1">
      <c r="A696" s="65">
        <v>45751</v>
      </c>
      <c r="B696" s="155" t="s">
        <v>370</v>
      </c>
      <c r="C696" s="160">
        <f>VLOOKUP(B696,CONFIGURAÇÃO!H:I,2,FALSE)</f>
      </c>
      <c r="D696" s="66">
        <v>1</v>
      </c>
      <c r="E696" s="147" t="s">
        <v>78</v>
      </c>
      <c r="F696" s="96">
        <f>VLOOKUP(E696,CONFIGURAÇÃO!E:F,2,0)</f>
      </c>
      <c r="G696" s="147" t="s">
        <v>13</v>
      </c>
      <c r="H696" s="96">
        <f>IF(G696="CORTESIA",0,D696*F696)</f>
      </c>
      <c r="I696" s="147" t="s">
        <v>22</v>
      </c>
      <c r="J696" s="149" t="s">
        <v>184</v>
      </c>
      <c r="K696" s="147"/>
      <c r="L696" s="1"/>
      <c r="M696" s="1"/>
      <c r="N696" s="3"/>
    </row>
    <row x14ac:dyDescent="0.25" r="697" customHeight="1" ht="18.75" hidden="1">
      <c r="A697" s="67" t="s">
        <v>198</v>
      </c>
      <c r="B697" s="154" t="s">
        <v>371</v>
      </c>
      <c r="C697" s="160">
        <f>VLOOKUP(B697,CONFIGURAÇÃO!H:I,2,FALSE)</f>
      </c>
      <c r="D697" s="148">
        <v>1</v>
      </c>
      <c r="E697" s="149" t="s">
        <v>183</v>
      </c>
      <c r="F697" s="96">
        <f>VLOOKUP(E697,CONFIGURAÇÃO!E:F,2,0)</f>
      </c>
      <c r="G697" s="147" t="s">
        <v>73</v>
      </c>
      <c r="H697" s="96">
        <f>IF(G697="CORTESIA",0,D697*F697)</f>
      </c>
      <c r="I697" s="147" t="s">
        <v>50</v>
      </c>
      <c r="J697" s="149" t="s">
        <v>184</v>
      </c>
      <c r="K697" s="147"/>
      <c r="L697" s="1"/>
      <c r="M697" s="1"/>
      <c r="N697" s="3"/>
    </row>
    <row x14ac:dyDescent="0.25" r="698" customHeight="1" ht="18.75" hidden="1">
      <c r="A698" s="67" t="s">
        <v>178</v>
      </c>
      <c r="B698" s="154" t="s">
        <v>371</v>
      </c>
      <c r="C698" s="160">
        <f>VLOOKUP(B698,CONFIGURAÇÃO!H:I,2,FALSE)</f>
      </c>
      <c r="D698" s="148">
        <v>1</v>
      </c>
      <c r="E698" s="149" t="s">
        <v>78</v>
      </c>
      <c r="F698" s="96">
        <f>VLOOKUP(E698,CONFIGURAÇÃO!E:F,2,0)</f>
      </c>
      <c r="G698" s="147" t="s">
        <v>73</v>
      </c>
      <c r="H698" s="96">
        <f>IF(G698="CORTESIA",0,D698*F698)</f>
      </c>
      <c r="I698" s="147" t="s">
        <v>50</v>
      </c>
      <c r="J698" s="149" t="s">
        <v>184</v>
      </c>
      <c r="K698" s="147"/>
      <c r="L698" s="1"/>
      <c r="M698" s="1"/>
      <c r="N698" s="3"/>
    </row>
    <row x14ac:dyDescent="0.25" r="699" customHeight="1" ht="18.75" hidden="1">
      <c r="A699" s="67">
        <v>45741</v>
      </c>
      <c r="B699" s="154" t="s">
        <v>372</v>
      </c>
      <c r="C699" s="160">
        <f>VLOOKUP(B699,CONFIGURAÇÃO!H:I,2,FALSE)</f>
      </c>
      <c r="D699" s="148">
        <v>1</v>
      </c>
      <c r="E699" s="149" t="s">
        <v>183</v>
      </c>
      <c r="F699" s="96">
        <f>VLOOKUP(E699,CONFIGURAÇÃO!E:F,2,0)</f>
      </c>
      <c r="G699" s="147" t="s">
        <v>13</v>
      </c>
      <c r="H699" s="96">
        <f>IF(G699="CORTESIA",0,D699*F699)</f>
      </c>
      <c r="I699" s="147" t="s">
        <v>22</v>
      </c>
      <c r="J699" s="149" t="s">
        <v>184</v>
      </c>
      <c r="K699" s="147"/>
      <c r="L699" s="1"/>
      <c r="M699" s="1"/>
      <c r="N699" s="3"/>
    </row>
    <row x14ac:dyDescent="0.25" r="700" customHeight="1" ht="18.75" hidden="1">
      <c r="A700" s="65" t="s">
        <v>188</v>
      </c>
      <c r="B700" s="155" t="s">
        <v>372</v>
      </c>
      <c r="C700" s="160">
        <f>VLOOKUP(B700,CONFIGURAÇÃO!H:I,2,FALSE)</f>
      </c>
      <c r="D700" s="66">
        <v>2</v>
      </c>
      <c r="E700" s="147" t="s">
        <v>78</v>
      </c>
      <c r="F700" s="96">
        <f>VLOOKUP(E700,CONFIGURAÇÃO!E:F,2,0)</f>
      </c>
      <c r="G700" s="147" t="s">
        <v>13</v>
      </c>
      <c r="H700" s="96">
        <f>IF(G700="CORTESIA",0,D700*F700)</f>
      </c>
      <c r="I700" s="147" t="s">
        <v>22</v>
      </c>
      <c r="J700" s="149" t="s">
        <v>184</v>
      </c>
      <c r="K700" s="147"/>
      <c r="L700" s="1"/>
      <c r="M700" s="1"/>
      <c r="N700" s="3"/>
    </row>
    <row x14ac:dyDescent="0.25" r="701" customHeight="1" ht="18.75" hidden="1">
      <c r="A701" s="65" t="s">
        <v>172</v>
      </c>
      <c r="B701" s="155" t="s">
        <v>372</v>
      </c>
      <c r="C701" s="160">
        <f>VLOOKUP(B701,CONFIGURAÇÃO!H:I,2,FALSE)</f>
      </c>
      <c r="D701" s="66">
        <v>1</v>
      </c>
      <c r="E701" s="147" t="s">
        <v>78</v>
      </c>
      <c r="F701" s="96">
        <f>VLOOKUP(E701,CONFIGURAÇÃO!E:F,2,0)</f>
      </c>
      <c r="G701" s="147" t="s">
        <v>13</v>
      </c>
      <c r="H701" s="96">
        <f>IF(G701="CORTESIA",0,D701*F701)</f>
      </c>
      <c r="I701" s="147" t="s">
        <v>22</v>
      </c>
      <c r="J701" s="149" t="s">
        <v>184</v>
      </c>
      <c r="K701" s="147"/>
      <c r="L701" s="1"/>
      <c r="M701" s="1"/>
      <c r="N701" s="3"/>
    </row>
    <row x14ac:dyDescent="0.25" r="702" customHeight="1" ht="18.75" hidden="1">
      <c r="A702" s="65" t="s">
        <v>172</v>
      </c>
      <c r="B702" s="155" t="s">
        <v>372</v>
      </c>
      <c r="C702" s="160">
        <f>VLOOKUP(B702,CONFIGURAÇÃO!H:I,2,FALSE)</f>
      </c>
      <c r="D702" s="66">
        <v>1</v>
      </c>
      <c r="E702" s="147" t="s">
        <v>183</v>
      </c>
      <c r="F702" s="96">
        <f>VLOOKUP(E702,CONFIGURAÇÃO!E:F,2,0)</f>
      </c>
      <c r="G702" s="147" t="s">
        <v>13</v>
      </c>
      <c r="H702" s="96">
        <f>IF(G702="CORTESIA",0,D702*F702)</f>
      </c>
      <c r="I702" s="147" t="s">
        <v>22</v>
      </c>
      <c r="J702" s="149" t="s">
        <v>184</v>
      </c>
      <c r="K702" s="147"/>
      <c r="L702" s="1"/>
      <c r="M702" s="1"/>
      <c r="N702" s="3"/>
    </row>
    <row x14ac:dyDescent="0.25" r="703" customHeight="1" ht="18.75" hidden="1">
      <c r="A703" s="65" t="s">
        <v>159</v>
      </c>
      <c r="B703" s="155" t="s">
        <v>372</v>
      </c>
      <c r="C703" s="160">
        <f>VLOOKUP(B703,CONFIGURAÇÃO!H:I,2,FALSE)</f>
      </c>
      <c r="D703" s="66">
        <v>1</v>
      </c>
      <c r="E703" s="147" t="s">
        <v>72</v>
      </c>
      <c r="F703" s="96">
        <f>VLOOKUP(E703,CONFIGURAÇÃO!E:F,2,0)</f>
      </c>
      <c r="G703" s="147" t="s">
        <v>13</v>
      </c>
      <c r="H703" s="96">
        <f>IF(G703="CORTESIA",0,D703*F703)</f>
      </c>
      <c r="I703" s="147" t="s">
        <v>22</v>
      </c>
      <c r="J703" s="149" t="s">
        <v>184</v>
      </c>
      <c r="K703" s="147"/>
      <c r="L703" s="1"/>
      <c r="M703" s="1"/>
      <c r="N703" s="3"/>
    </row>
    <row x14ac:dyDescent="0.25" r="704" customHeight="1" ht="18.75" hidden="1">
      <c r="A704" s="67" t="s">
        <v>162</v>
      </c>
      <c r="B704" s="154" t="s">
        <v>372</v>
      </c>
      <c r="C704" s="160">
        <f>VLOOKUP(B704,CONFIGURAÇÃO!H:I,2,FALSE)</f>
      </c>
      <c r="D704" s="148">
        <v>2</v>
      </c>
      <c r="E704" s="149" t="s">
        <v>78</v>
      </c>
      <c r="F704" s="96">
        <f>VLOOKUP(E704,CONFIGURAÇÃO!E:F,2,0)</f>
      </c>
      <c r="G704" s="147" t="s">
        <v>13</v>
      </c>
      <c r="H704" s="96">
        <f>IF(G704="CORTESIA",0,D704*F704)</f>
      </c>
      <c r="I704" s="147" t="s">
        <v>22</v>
      </c>
      <c r="J704" s="149" t="s">
        <v>184</v>
      </c>
      <c r="K704" s="147"/>
      <c r="L704" s="1"/>
      <c r="M704" s="1"/>
      <c r="N704" s="3"/>
    </row>
    <row x14ac:dyDescent="0.25" r="705" customHeight="1" ht="18.75" hidden="1">
      <c r="A705" s="67" t="s">
        <v>164</v>
      </c>
      <c r="B705" s="154" t="s">
        <v>372</v>
      </c>
      <c r="C705" s="160">
        <f>VLOOKUP(B705,CONFIGURAÇÃO!H:I,2,FALSE)</f>
      </c>
      <c r="D705" s="148">
        <v>3</v>
      </c>
      <c r="E705" s="149" t="s">
        <v>183</v>
      </c>
      <c r="F705" s="96">
        <f>VLOOKUP(E705,CONFIGURAÇÃO!E:F,2,0)</f>
      </c>
      <c r="G705" s="147" t="s">
        <v>13</v>
      </c>
      <c r="H705" s="96">
        <f>IF(G705="CORTESIA",0,D705*F705)</f>
      </c>
      <c r="I705" s="147" t="s">
        <v>22</v>
      </c>
      <c r="J705" s="149" t="s">
        <v>74</v>
      </c>
      <c r="K705" s="147"/>
      <c r="L705" s="1"/>
      <c r="M705" s="1"/>
      <c r="N705" s="3"/>
    </row>
    <row x14ac:dyDescent="0.25" r="706" customHeight="1" ht="18.75" hidden="1">
      <c r="A706" s="67" t="s">
        <v>164</v>
      </c>
      <c r="B706" s="154" t="s">
        <v>372</v>
      </c>
      <c r="C706" s="160">
        <f>VLOOKUP(B706,CONFIGURAÇÃO!H:I,2,FALSE)</f>
      </c>
      <c r="D706" s="148">
        <v>2</v>
      </c>
      <c r="E706" s="149" t="s">
        <v>78</v>
      </c>
      <c r="F706" s="96">
        <f>VLOOKUP(E706,CONFIGURAÇÃO!E:F,2,0)</f>
      </c>
      <c r="G706" s="147" t="s">
        <v>13</v>
      </c>
      <c r="H706" s="96">
        <f>IF(G706="CORTESIA",0,D706*F706)</f>
      </c>
      <c r="I706" s="147" t="s">
        <v>22</v>
      </c>
      <c r="J706" s="149" t="s">
        <v>74</v>
      </c>
      <c r="K706" s="147"/>
      <c r="L706" s="1"/>
      <c r="M706" s="1"/>
      <c r="N706" s="3"/>
    </row>
    <row x14ac:dyDescent="0.25" r="707" customHeight="1" ht="18.75" hidden="1">
      <c r="A707" s="67">
        <v>45748</v>
      </c>
      <c r="B707" s="154" t="s">
        <v>131</v>
      </c>
      <c r="C707" s="160">
        <f>VLOOKUP(B707,CONFIGURAÇÃO!H:I,2,FALSE)</f>
      </c>
      <c r="D707" s="148">
        <v>1</v>
      </c>
      <c r="E707" s="149" t="s">
        <v>72</v>
      </c>
      <c r="F707" s="96">
        <f>VLOOKUP(E707,CONFIGURAÇÃO!E:F,2,0)</f>
      </c>
      <c r="G707" s="147" t="s">
        <v>13</v>
      </c>
      <c r="H707" s="96">
        <f>IF(G707="CORTESIA",0,D707*F707)</f>
      </c>
      <c r="I707" s="147" t="s">
        <v>22</v>
      </c>
      <c r="J707" s="149" t="s">
        <v>184</v>
      </c>
      <c r="K707" s="147"/>
      <c r="L707" s="1"/>
      <c r="M707" s="1"/>
      <c r="N707" s="3"/>
    </row>
    <row x14ac:dyDescent="0.25" r="708" customHeight="1" ht="18.75" hidden="1">
      <c r="A708" s="65" t="s">
        <v>228</v>
      </c>
      <c r="B708" s="155" t="s">
        <v>373</v>
      </c>
      <c r="C708" s="160">
        <f>VLOOKUP(B708,CONFIGURAÇÃO!H:I,2,FALSE)</f>
      </c>
      <c r="D708" s="66">
        <v>1</v>
      </c>
      <c r="E708" s="147" t="s">
        <v>72</v>
      </c>
      <c r="F708" s="96">
        <f>VLOOKUP(E708,CONFIGURAÇÃO!E:F,2,0)</f>
      </c>
      <c r="G708" s="147" t="s">
        <v>73</v>
      </c>
      <c r="H708" s="96">
        <f>IF(G708="CORTESIA",0,D708*F708)</f>
      </c>
      <c r="I708" s="147" t="s">
        <v>19</v>
      </c>
      <c r="J708" s="149" t="s">
        <v>184</v>
      </c>
      <c r="K708" s="147" t="s">
        <v>234</v>
      </c>
      <c r="L708" s="1"/>
      <c r="M708" s="1"/>
      <c r="N708" s="3"/>
    </row>
    <row x14ac:dyDescent="0.25" r="709" customHeight="1" ht="18.75">
      <c r="A709" s="65" t="s">
        <v>180</v>
      </c>
      <c r="B709" s="155" t="s">
        <v>176</v>
      </c>
      <c r="C709" s="160">
        <f>VLOOKUP(B709,CONFIGURAÇÃO!H:I,2,FALSE)</f>
      </c>
      <c r="D709" s="66">
        <v>2</v>
      </c>
      <c r="E709" s="147" t="s">
        <v>78</v>
      </c>
      <c r="F709" s="96">
        <f>VLOOKUP(E709,CONFIGURAÇÃO!E:F,2,0)</f>
      </c>
      <c r="G709" s="147" t="s">
        <v>291</v>
      </c>
      <c r="H709" s="96">
        <f>IF(G709="CORTESIA",0,D709*F709)</f>
      </c>
      <c r="I709" s="147" t="s">
        <v>19</v>
      </c>
      <c r="J709" s="149" t="s">
        <v>184</v>
      </c>
      <c r="K709" s="147"/>
      <c r="L709" s="1"/>
      <c r="M709" s="1"/>
      <c r="N709" s="3"/>
    </row>
    <row x14ac:dyDescent="0.25" r="710" customHeight="1" ht="18.75">
      <c r="A710" s="65" t="s">
        <v>180</v>
      </c>
      <c r="B710" s="155" t="s">
        <v>181</v>
      </c>
      <c r="C710" s="160">
        <f>VLOOKUP(B710,CONFIGURAÇÃO!H:I,2,FALSE)</f>
      </c>
      <c r="D710" s="66">
        <v>3</v>
      </c>
      <c r="E710" s="147" t="s">
        <v>78</v>
      </c>
      <c r="F710" s="96">
        <f>VLOOKUP(E710,CONFIGURAÇÃO!E:F,2,0)</f>
      </c>
      <c r="G710" s="147" t="s">
        <v>291</v>
      </c>
      <c r="H710" s="96">
        <f>IF(G710="CORTESIA",0,D710*F710)</f>
      </c>
      <c r="I710" s="147" t="s">
        <v>19</v>
      </c>
      <c r="J710" s="149" t="s">
        <v>184</v>
      </c>
      <c r="K710" s="34"/>
      <c r="L710" s="1"/>
      <c r="M710" s="1"/>
      <c r="N710" s="3"/>
    </row>
    <row x14ac:dyDescent="0.25" r="711" customHeight="1" ht="18.75" hidden="1">
      <c r="A711" s="65" t="s">
        <v>180</v>
      </c>
      <c r="B711" s="155" t="s">
        <v>374</v>
      </c>
      <c r="C711" s="160">
        <f>VLOOKUP(B711,CONFIGURAÇÃO!H:I,2,FALSE)</f>
      </c>
      <c r="D711" s="148">
        <v>1</v>
      </c>
      <c r="E711" s="149" t="s">
        <v>78</v>
      </c>
      <c r="F711" s="96">
        <f>VLOOKUP(E711,CONFIGURAÇÃO!E:F,2,0)</f>
      </c>
      <c r="G711" s="147" t="s">
        <v>13</v>
      </c>
      <c r="H711" s="96">
        <f>IF(G711="CORTESIA",0,D711*F711)</f>
      </c>
      <c r="I711" s="147" t="s">
        <v>19</v>
      </c>
      <c r="J711" s="149"/>
      <c r="K711" s="147"/>
      <c r="L711" s="1"/>
      <c r="M711" s="1"/>
      <c r="N71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M172"/>
  <sheetViews>
    <sheetView workbookViewId="0" tabSelected="1"/>
  </sheetViews>
  <sheetFormatPr defaultRowHeight="15" x14ac:dyDescent="0.25"/>
  <cols>
    <col min="1" max="1" style="156" width="12.43357142857143" customWidth="1" bestFit="1"/>
    <col min="2" max="2" style="157" width="31.005" customWidth="1" bestFit="1"/>
    <col min="3" max="3" style="38" width="14.862142857142858" customWidth="1" bestFit="1"/>
    <col min="4" max="4" style="38" width="6.719285714285714" customWidth="1" bestFit="1"/>
    <col min="5" max="5" style="12" width="39.71928571428572" customWidth="1" bestFit="1"/>
    <col min="6" max="6" style="37" width="22.005" customWidth="1" bestFit="1"/>
    <col min="7" max="7" style="12" width="16.719285714285714" customWidth="1" bestFit="1"/>
    <col min="8" max="8" style="37" width="10.719285714285713" customWidth="1" bestFit="1"/>
    <col min="9" max="9" style="37" width="13.005" customWidth="1" bestFit="1"/>
    <col min="10" max="10" style="37" width="14.576428571428572" customWidth="1" bestFit="1"/>
    <col min="11" max="11" style="12" width="16.719285714285714" customWidth="1" bestFit="1"/>
    <col min="12" max="12" style="12" width="29.14785714285714" customWidth="1" bestFit="1"/>
    <col min="13" max="13" style="12" width="49.57642857142857" customWidth="1" bestFit="1"/>
  </cols>
  <sheetData>
    <row x14ac:dyDescent="0.25" r="1" customHeight="1" ht="18.75">
      <c r="A1" s="142" t="s">
        <v>63</v>
      </c>
      <c r="B1" s="143" t="s">
        <v>64</v>
      </c>
      <c r="C1" s="144" t="s">
        <v>65</v>
      </c>
      <c r="D1" s="144" t="s">
        <v>53</v>
      </c>
      <c r="E1" s="143" t="s">
        <v>66</v>
      </c>
      <c r="F1" s="145" t="s">
        <v>67</v>
      </c>
      <c r="G1" s="143" t="s">
        <v>68</v>
      </c>
      <c r="H1" s="145" t="s">
        <v>5</v>
      </c>
      <c r="I1" s="145" t="s">
        <v>57</v>
      </c>
      <c r="J1" s="145" t="s">
        <v>58</v>
      </c>
      <c r="K1" s="143" t="s">
        <v>23</v>
      </c>
      <c r="L1" s="146" t="s">
        <v>69</v>
      </c>
      <c r="M1" s="146" t="s">
        <v>70</v>
      </c>
    </row>
    <row x14ac:dyDescent="0.25" r="2" customHeight="1" ht="18.75">
      <c r="A2" s="67">
        <v>45748</v>
      </c>
      <c r="B2" s="147" t="s">
        <v>71</v>
      </c>
      <c r="C2" s="66">
        <f>VLOOKUP(B2,CONFIGURAÇÃO!H:I,2,FALSE)</f>
      </c>
      <c r="D2" s="148">
        <v>1</v>
      </c>
      <c r="E2" s="147" t="s">
        <v>72</v>
      </c>
      <c r="F2" s="96">
        <f>VLOOKUP(E2,PRECIFICAÇÃO!Q:R,2,0)</f>
      </c>
      <c r="G2" s="147" t="s">
        <v>73</v>
      </c>
      <c r="H2" s="96">
        <f>IF(G2="CORTESIA",0,D2*F2)</f>
      </c>
      <c r="I2" s="96">
        <f>VLOOKUP(E2,PRECIFICAÇÃO!Q:S,3,FALSE)*D2</f>
      </c>
      <c r="J2" s="96">
        <f>VLOOKUP(E2,PRECIFICAÇÃO!Q:U,4,FALSE)*D2</f>
      </c>
      <c r="K2" s="147" t="s">
        <v>22</v>
      </c>
      <c r="L2" s="149" t="s">
        <v>74</v>
      </c>
      <c r="M2" s="149"/>
    </row>
    <row x14ac:dyDescent="0.25" r="3" customHeight="1" ht="18.75">
      <c r="A3" s="65">
        <v>45758</v>
      </c>
      <c r="B3" s="147" t="s">
        <v>75</v>
      </c>
      <c r="C3" s="66">
        <f>VLOOKUP(B3,CONFIGURAÇÃO!H:I,2,FALSE)</f>
      </c>
      <c r="D3" s="66">
        <v>2</v>
      </c>
      <c r="E3" s="147" t="s">
        <v>76</v>
      </c>
      <c r="F3" s="96">
        <f>VLOOKUP(E3,PRECIFICAÇÃO!Q:R,2,0)</f>
      </c>
      <c r="G3" s="147" t="s">
        <v>73</v>
      </c>
      <c r="H3" s="96">
        <f>IF(G3="CORTESIA",0,D3*F3)</f>
      </c>
      <c r="I3" s="96">
        <f>VLOOKUP(E3,PRECIFICAÇÃO!Q:S,3,FALSE)*D3</f>
      </c>
      <c r="J3" s="96">
        <f>VLOOKUP(E3,PRECIFICAÇÃO!Q:U,4,FALSE)*D3</f>
      </c>
      <c r="K3" s="147" t="s">
        <v>22</v>
      </c>
      <c r="L3" s="149" t="s">
        <v>74</v>
      </c>
      <c r="M3" s="147"/>
    </row>
    <row x14ac:dyDescent="0.25" r="4" customHeight="1" ht="18.75">
      <c r="A4" s="65">
        <v>45758</v>
      </c>
      <c r="B4" s="147" t="s">
        <v>77</v>
      </c>
      <c r="C4" s="66">
        <f>VLOOKUP(B4,CONFIGURAÇÃO!H:I,2,FALSE)</f>
      </c>
      <c r="D4" s="66">
        <v>1</v>
      </c>
      <c r="E4" s="147" t="s">
        <v>78</v>
      </c>
      <c r="F4" s="96">
        <f>VLOOKUP(E4,PRECIFICAÇÃO!Q:S,2,0)</f>
      </c>
      <c r="G4" s="147" t="s">
        <v>73</v>
      </c>
      <c r="H4" s="96">
        <f>IF(G4="CORTESIA",0,D4*F4)</f>
      </c>
      <c r="I4" s="96">
        <f>VLOOKUP(E4,PRECIFICAÇÃO!Q:S,3,FALSE)*D4</f>
      </c>
      <c r="J4" s="96">
        <f>VLOOKUP(E4,PRECIFICAÇÃO!Q:U,4,FALSE)*D4</f>
      </c>
      <c r="K4" s="147" t="s">
        <v>22</v>
      </c>
      <c r="L4" s="149" t="s">
        <v>74</v>
      </c>
      <c r="M4" s="147"/>
    </row>
    <row x14ac:dyDescent="0.25" r="5" customHeight="1" ht="18.75">
      <c r="A5" s="65">
        <v>45758</v>
      </c>
      <c r="B5" s="147" t="s">
        <v>79</v>
      </c>
      <c r="C5" s="66">
        <f>VLOOKUP(B5,CONFIGURAÇÃO!H:I,2,FALSE)</f>
      </c>
      <c r="D5" s="66">
        <v>2</v>
      </c>
      <c r="E5" s="147" t="s">
        <v>78</v>
      </c>
      <c r="F5" s="96">
        <f>VLOOKUP(E5,PRECIFICAÇÃO!Q:R,2,0)</f>
      </c>
      <c r="G5" s="147" t="s">
        <v>73</v>
      </c>
      <c r="H5" s="96">
        <f>IF(G5="CORTESIA",0,D5*F5)</f>
      </c>
      <c r="I5" s="96">
        <f>VLOOKUP(E5,PRECIFICAÇÃO!Q:S,3,FALSE)*D5</f>
      </c>
      <c r="J5" s="96">
        <f>VLOOKUP(E5,PRECIFICAÇÃO!Q:U,4,FALSE)*D5</f>
      </c>
      <c r="K5" s="147" t="s">
        <v>22</v>
      </c>
      <c r="L5" s="149" t="s">
        <v>74</v>
      </c>
      <c r="M5" s="147"/>
    </row>
    <row x14ac:dyDescent="0.25" r="6" customHeight="1" ht="18.75">
      <c r="A6" s="65">
        <v>45758</v>
      </c>
      <c r="B6" s="147" t="s">
        <v>80</v>
      </c>
      <c r="C6" s="66">
        <f>VLOOKUP(B6,CONFIGURAÇÃO!H:I,2,FALSE)</f>
      </c>
      <c r="D6" s="66">
        <v>1</v>
      </c>
      <c r="E6" s="147" t="s">
        <v>78</v>
      </c>
      <c r="F6" s="96">
        <f>VLOOKUP(E6,PRECIFICAÇÃO!Q:R,2,0)</f>
      </c>
      <c r="G6" s="147" t="s">
        <v>73</v>
      </c>
      <c r="H6" s="96">
        <f>IF(G6="CORTESIA",0,D6*F6)</f>
      </c>
      <c r="I6" s="96">
        <f>VLOOKUP(E6,PRECIFICAÇÃO!Q:S,3,FALSE)*D6</f>
      </c>
      <c r="J6" s="96">
        <f>VLOOKUP(E6,PRECIFICAÇÃO!Q:U,4,FALSE)*D6</f>
      </c>
      <c r="K6" s="147" t="s">
        <v>22</v>
      </c>
      <c r="L6" s="149" t="s">
        <v>74</v>
      </c>
      <c r="M6" s="147"/>
    </row>
    <row x14ac:dyDescent="0.25" r="7" customHeight="1" ht="18.75">
      <c r="A7" s="65">
        <v>45758</v>
      </c>
      <c r="B7" s="147" t="s">
        <v>81</v>
      </c>
      <c r="C7" s="66">
        <f>VLOOKUP(B7,CONFIGURAÇÃO!H:I,2,FALSE)</f>
      </c>
      <c r="D7" s="66">
        <v>1</v>
      </c>
      <c r="E7" s="147" t="s">
        <v>76</v>
      </c>
      <c r="F7" s="96">
        <f>VLOOKUP(E7,PRECIFICAÇÃO!Q:R,2,0)</f>
      </c>
      <c r="G7" s="147" t="s">
        <v>73</v>
      </c>
      <c r="H7" s="96">
        <f>IF(G7="CORTESIA",0,D7*F7)</f>
      </c>
      <c r="I7" s="96">
        <f>VLOOKUP(E7,PRECIFICAÇÃO!Q:S,3,FALSE)*D7</f>
      </c>
      <c r="J7" s="96">
        <f>VLOOKUP(E7,PRECIFICAÇÃO!Q:U,4,FALSE)*D7</f>
      </c>
      <c r="K7" s="147" t="s">
        <v>22</v>
      </c>
      <c r="L7" s="149" t="s">
        <v>74</v>
      </c>
      <c r="M7" s="147"/>
    </row>
    <row x14ac:dyDescent="0.25" r="8" customHeight="1" ht="18.75">
      <c r="A8" s="65">
        <v>45758</v>
      </c>
      <c r="B8" s="147" t="s">
        <v>81</v>
      </c>
      <c r="C8" s="66">
        <f>VLOOKUP(B8,CONFIGURAÇÃO!H:I,2,FALSE)</f>
      </c>
      <c r="D8" s="66">
        <v>1</v>
      </c>
      <c r="E8" s="147" t="s">
        <v>78</v>
      </c>
      <c r="F8" s="96">
        <f>VLOOKUP(E8,PRECIFICAÇÃO!Q:R,2,0)</f>
      </c>
      <c r="G8" s="147" t="s">
        <v>73</v>
      </c>
      <c r="H8" s="96">
        <f>IF(G8="CORTESIA",0,D8*F8)</f>
      </c>
      <c r="I8" s="96">
        <f>VLOOKUP(E8,PRECIFICAÇÃO!Q:S,3,FALSE)*D8</f>
      </c>
      <c r="J8" s="96">
        <f>VLOOKUP(E8,PRECIFICAÇÃO!Q:U,4,FALSE)*D8</f>
      </c>
      <c r="K8" s="147" t="s">
        <v>22</v>
      </c>
      <c r="L8" s="149" t="s">
        <v>74</v>
      </c>
      <c r="M8" s="147"/>
    </row>
    <row x14ac:dyDescent="0.25" r="9" customHeight="1" ht="18.75">
      <c r="A9" s="65">
        <v>45758</v>
      </c>
      <c r="B9" s="147" t="s">
        <v>82</v>
      </c>
      <c r="C9" s="66">
        <f>VLOOKUP(B9,CONFIGURAÇÃO!H:I,2,FALSE)</f>
      </c>
      <c r="D9" s="66">
        <v>1</v>
      </c>
      <c r="E9" s="147" t="s">
        <v>76</v>
      </c>
      <c r="F9" s="96">
        <f>VLOOKUP(E9,PRECIFICAÇÃO!Q:R,2,0)</f>
      </c>
      <c r="G9" s="147" t="s">
        <v>73</v>
      </c>
      <c r="H9" s="96">
        <f>IF(G9="CORTESIA",0,D9*F9)</f>
      </c>
      <c r="I9" s="96">
        <f>VLOOKUP(E9,PRECIFICAÇÃO!Q:S,3,FALSE)*D9</f>
      </c>
      <c r="J9" s="96">
        <f>VLOOKUP(E9,PRECIFICAÇÃO!Q:U,4,FALSE)*D9</f>
      </c>
      <c r="K9" s="147" t="s">
        <v>22</v>
      </c>
      <c r="L9" s="149" t="s">
        <v>74</v>
      </c>
      <c r="M9" s="147"/>
    </row>
    <row x14ac:dyDescent="0.25" r="10" customHeight="1" ht="18.75">
      <c r="A10" s="65">
        <v>45758</v>
      </c>
      <c r="B10" s="147" t="s">
        <v>82</v>
      </c>
      <c r="C10" s="66">
        <f>VLOOKUP(B10,CONFIGURAÇÃO!H:I,2,FALSE)</f>
      </c>
      <c r="D10" s="66">
        <v>1</v>
      </c>
      <c r="E10" s="147" t="s">
        <v>78</v>
      </c>
      <c r="F10" s="96">
        <f>VLOOKUP(E10,PRECIFICAÇÃO!Q:R,2,0)</f>
      </c>
      <c r="G10" s="147" t="s">
        <v>73</v>
      </c>
      <c r="H10" s="96">
        <f>IF(G10="CORTESIA",0,D10*F10)</f>
      </c>
      <c r="I10" s="96">
        <f>VLOOKUP(E10,PRECIFICAÇÃO!Q:S,3,FALSE)*D10</f>
      </c>
      <c r="J10" s="96">
        <f>VLOOKUP(E10,PRECIFICAÇÃO!Q:U,4,FALSE)*D10</f>
      </c>
      <c r="K10" s="147" t="s">
        <v>22</v>
      </c>
      <c r="L10" s="149" t="s">
        <v>74</v>
      </c>
      <c r="M10" s="147"/>
    </row>
    <row x14ac:dyDescent="0.25" r="11" customHeight="1" ht="18.75">
      <c r="A11" s="65">
        <v>45758</v>
      </c>
      <c r="B11" s="147" t="s">
        <v>83</v>
      </c>
      <c r="C11" s="66">
        <f>VLOOKUP(B11,CONFIGURAÇÃO!H:I,2,FALSE)</f>
      </c>
      <c r="D11" s="66">
        <v>2</v>
      </c>
      <c r="E11" s="147" t="s">
        <v>84</v>
      </c>
      <c r="F11" s="96">
        <f>VLOOKUP(E11,PRECIFICAÇÃO!Q:R,2,0)</f>
      </c>
      <c r="G11" s="147" t="s">
        <v>73</v>
      </c>
      <c r="H11" s="96">
        <f>IF(G11="CORTESIA",0,D11*F11)</f>
      </c>
      <c r="I11" s="96">
        <f>VLOOKUP(E11,PRECIFICAÇÃO!Q:S,3,FALSE)*D11</f>
      </c>
      <c r="J11" s="96">
        <f>VLOOKUP(E11,PRECIFICAÇÃO!Q:U,4,FALSE)*D11</f>
      </c>
      <c r="K11" s="147" t="s">
        <v>22</v>
      </c>
      <c r="L11" s="149" t="s">
        <v>74</v>
      </c>
      <c r="M11" s="147"/>
    </row>
    <row x14ac:dyDescent="0.25" r="12" customHeight="1" ht="18.75">
      <c r="A12" s="65">
        <v>45758</v>
      </c>
      <c r="B12" s="147" t="s">
        <v>83</v>
      </c>
      <c r="C12" s="66">
        <f>VLOOKUP(B12,CONFIGURAÇÃO!H:I,2,FALSE)</f>
      </c>
      <c r="D12" s="66">
        <v>2</v>
      </c>
      <c r="E12" s="147" t="s">
        <v>78</v>
      </c>
      <c r="F12" s="96">
        <f>VLOOKUP(E12,PRECIFICAÇÃO!Q:R,2,0)</f>
      </c>
      <c r="G12" s="147" t="s">
        <v>73</v>
      </c>
      <c r="H12" s="96">
        <f>IF(G12="CORTESIA",0,D12*F12)</f>
      </c>
      <c r="I12" s="96">
        <f>VLOOKUP(E12,PRECIFICAÇÃO!Q:S,3,FALSE)*D12</f>
      </c>
      <c r="J12" s="96">
        <f>VLOOKUP(E12,PRECIFICAÇÃO!Q:U,4,FALSE)*D12</f>
      </c>
      <c r="K12" s="147" t="s">
        <v>22</v>
      </c>
      <c r="L12" s="149" t="s">
        <v>74</v>
      </c>
      <c r="M12" s="147"/>
    </row>
    <row x14ac:dyDescent="0.25" r="13" customHeight="1" ht="18.75">
      <c r="A13" s="65">
        <v>45758</v>
      </c>
      <c r="B13" s="147" t="s">
        <v>85</v>
      </c>
      <c r="C13" s="66">
        <f>VLOOKUP(B13,CONFIGURAÇÃO!H:I,2,FALSE)</f>
      </c>
      <c r="D13" s="66">
        <v>1</v>
      </c>
      <c r="E13" s="147" t="s">
        <v>76</v>
      </c>
      <c r="F13" s="96">
        <f>VLOOKUP(E13,PRECIFICAÇÃO!Q:R,2,0)</f>
      </c>
      <c r="G13" s="147" t="s">
        <v>73</v>
      </c>
      <c r="H13" s="96">
        <f>IF(G13="CORTESIA",0,D13*F13)</f>
      </c>
      <c r="I13" s="96">
        <f>VLOOKUP(E13,PRECIFICAÇÃO!Q:S,3,FALSE)*D13</f>
      </c>
      <c r="J13" s="96">
        <f>VLOOKUP(E13,PRECIFICAÇÃO!Q:U,4,FALSE)*D13</f>
      </c>
      <c r="K13" s="147" t="s">
        <v>22</v>
      </c>
      <c r="L13" s="149" t="s">
        <v>74</v>
      </c>
      <c r="M13" s="147"/>
    </row>
    <row x14ac:dyDescent="0.25" r="14" customHeight="1" ht="18.75">
      <c r="A14" s="65">
        <v>45758</v>
      </c>
      <c r="B14" s="147" t="s">
        <v>86</v>
      </c>
      <c r="C14" s="66">
        <f>VLOOKUP(B14,CONFIGURAÇÃO!H:I,2,FALSE)</f>
      </c>
      <c r="D14" s="66">
        <v>1</v>
      </c>
      <c r="E14" s="147" t="s">
        <v>78</v>
      </c>
      <c r="F14" s="96">
        <f>VLOOKUP(E14,PRECIFICAÇÃO!Q:R,2,0)</f>
      </c>
      <c r="G14" s="147" t="s">
        <v>52</v>
      </c>
      <c r="H14" s="96">
        <f>IF(G14="CORTESIA",0,D14*F14)</f>
      </c>
      <c r="I14" s="96">
        <f>VLOOKUP(E14,PRECIFICAÇÃO!Q:S,3,FALSE)*D14</f>
      </c>
      <c r="J14" s="96">
        <v>0</v>
      </c>
      <c r="K14" s="147" t="s">
        <v>22</v>
      </c>
      <c r="L14" s="149" t="s">
        <v>74</v>
      </c>
      <c r="M14" s="147" t="s">
        <v>87</v>
      </c>
    </row>
    <row x14ac:dyDescent="0.25" r="15" customHeight="1" ht="18.75">
      <c r="A15" s="65">
        <v>45758</v>
      </c>
      <c r="B15" s="147" t="s">
        <v>88</v>
      </c>
      <c r="C15" s="66">
        <f>VLOOKUP(B15,CONFIGURAÇÃO!H:I,2,FALSE)</f>
      </c>
      <c r="D15" s="66">
        <v>1</v>
      </c>
      <c r="E15" s="147" t="s">
        <v>78</v>
      </c>
      <c r="F15" s="96">
        <f>VLOOKUP(E15,PRECIFICAÇÃO!Q:R,2,0)</f>
      </c>
      <c r="G15" s="147" t="s">
        <v>73</v>
      </c>
      <c r="H15" s="96">
        <f>IF(G15="CORTESIA",0,D15*F15)</f>
      </c>
      <c r="I15" s="96">
        <f>VLOOKUP(E15,PRECIFICAÇÃO!Q:S,3,FALSE)*D15</f>
      </c>
      <c r="J15" s="96">
        <f>VLOOKUP(E15,PRECIFICAÇÃO!Q:U,4,FALSE)*D15</f>
      </c>
      <c r="K15" s="147" t="s">
        <v>22</v>
      </c>
      <c r="L15" s="149" t="s">
        <v>74</v>
      </c>
      <c r="M15" s="147"/>
    </row>
    <row x14ac:dyDescent="0.25" r="16" customHeight="1" ht="18.75">
      <c r="A16" s="65">
        <v>45758</v>
      </c>
      <c r="B16" s="147" t="s">
        <v>89</v>
      </c>
      <c r="C16" s="66">
        <f>VLOOKUP(B16,CONFIGURAÇÃO!H:I,2,FALSE)</f>
      </c>
      <c r="D16" s="66">
        <v>1</v>
      </c>
      <c r="E16" s="147" t="s">
        <v>78</v>
      </c>
      <c r="F16" s="96">
        <f>VLOOKUP(E16,PRECIFICAÇÃO!Q:R,2,0)</f>
      </c>
      <c r="G16" s="147" t="s">
        <v>73</v>
      </c>
      <c r="H16" s="96">
        <f>IF(G16="CORTESIA",0,D16*F16)</f>
      </c>
      <c r="I16" s="96">
        <f>VLOOKUP(E16,PRECIFICAÇÃO!Q:S,3,FALSE)*D16</f>
      </c>
      <c r="J16" s="96">
        <f>VLOOKUP(E16,PRECIFICAÇÃO!Q:U,4,FALSE)*D16</f>
      </c>
      <c r="K16" s="147" t="s">
        <v>22</v>
      </c>
      <c r="L16" s="149" t="s">
        <v>74</v>
      </c>
      <c r="M16" s="147"/>
    </row>
    <row x14ac:dyDescent="0.25" r="17" customHeight="1" ht="18.75">
      <c r="A17" s="65">
        <v>45758</v>
      </c>
      <c r="B17" s="147" t="s">
        <v>75</v>
      </c>
      <c r="C17" s="66">
        <f>VLOOKUP(B17,CONFIGURAÇÃO!H:I,2,FALSE)</f>
      </c>
      <c r="D17" s="66">
        <v>1</v>
      </c>
      <c r="E17" s="147" t="s">
        <v>78</v>
      </c>
      <c r="F17" s="96">
        <f>VLOOKUP(E17,PRECIFICAÇÃO!Q:R,2,0)</f>
      </c>
      <c r="G17" s="147" t="s">
        <v>73</v>
      </c>
      <c r="H17" s="96">
        <f>IF(G17="CORTESIA",0,D17*F17)</f>
      </c>
      <c r="I17" s="96">
        <f>VLOOKUP(E17,PRECIFICAÇÃO!Q:S,3,FALSE)*D17</f>
      </c>
      <c r="J17" s="96">
        <f>VLOOKUP(E17,PRECIFICAÇÃO!Q:U,4,FALSE)*D17</f>
      </c>
      <c r="K17" s="147" t="s">
        <v>22</v>
      </c>
      <c r="L17" s="149" t="s">
        <v>74</v>
      </c>
      <c r="M17" s="147"/>
    </row>
    <row x14ac:dyDescent="0.25" r="18" customHeight="1" ht="18.75">
      <c r="A18" s="65">
        <v>45758</v>
      </c>
      <c r="B18" s="147" t="s">
        <v>90</v>
      </c>
      <c r="C18" s="66">
        <f>VLOOKUP(B18,CONFIGURAÇÃO!H:I,2,FALSE)</f>
      </c>
      <c r="D18" s="66">
        <v>1</v>
      </c>
      <c r="E18" s="147" t="s">
        <v>78</v>
      </c>
      <c r="F18" s="96">
        <f>VLOOKUP(E18,PRECIFICAÇÃO!Q:R,2,0)</f>
      </c>
      <c r="G18" s="147" t="s">
        <v>73</v>
      </c>
      <c r="H18" s="96">
        <f>IF(G18="CORTESIA",0,D18*F18)</f>
      </c>
      <c r="I18" s="96">
        <f>VLOOKUP(E18,PRECIFICAÇÃO!Q:S,3,FALSE)*D18</f>
      </c>
      <c r="J18" s="96">
        <f>VLOOKUP(E18,PRECIFICAÇÃO!Q:U,4,FALSE)*D18</f>
      </c>
      <c r="K18" s="147" t="s">
        <v>22</v>
      </c>
      <c r="L18" s="149" t="s">
        <v>74</v>
      </c>
      <c r="M18" s="147"/>
    </row>
    <row x14ac:dyDescent="0.25" r="19" customHeight="1" ht="18.75">
      <c r="A19" s="65">
        <v>45761</v>
      </c>
      <c r="B19" s="147" t="s">
        <v>81</v>
      </c>
      <c r="C19" s="66">
        <f>VLOOKUP(B19,CONFIGURAÇÃO!H:I,2,FALSE)</f>
      </c>
      <c r="D19" s="66">
        <v>1</v>
      </c>
      <c r="E19" s="147" t="s">
        <v>78</v>
      </c>
      <c r="F19" s="96">
        <f>VLOOKUP(E19,PRECIFICAÇÃO!Q:R,2,0)</f>
      </c>
      <c r="G19" s="147" t="s">
        <v>73</v>
      </c>
      <c r="H19" s="96">
        <f>IF(G19="CORTESIA",0,D19*F19)</f>
      </c>
      <c r="I19" s="96">
        <f>VLOOKUP(E19,PRECIFICAÇÃO!Q:S,3,FALSE)*D19</f>
      </c>
      <c r="J19" s="96">
        <f>VLOOKUP(E19,PRECIFICAÇÃO!Q:U,4,FALSE)*D19</f>
      </c>
      <c r="K19" s="147" t="s">
        <v>22</v>
      </c>
      <c r="L19" s="149" t="s">
        <v>74</v>
      </c>
      <c r="M19" s="147"/>
    </row>
    <row x14ac:dyDescent="0.25" r="20" customHeight="1" ht="18.75">
      <c r="A20" s="65">
        <v>45761</v>
      </c>
      <c r="B20" s="147" t="s">
        <v>91</v>
      </c>
      <c r="C20" s="66">
        <f>VLOOKUP(B20,CONFIGURAÇÃO!H:I,2,FALSE)</f>
      </c>
      <c r="D20" s="66">
        <v>1</v>
      </c>
      <c r="E20" s="147" t="s">
        <v>78</v>
      </c>
      <c r="F20" s="96">
        <f>VLOOKUP(E20,PRECIFICAÇÃO!Q:R,2,0)</f>
      </c>
      <c r="G20" s="147" t="s">
        <v>73</v>
      </c>
      <c r="H20" s="96">
        <f>IF(G20="CORTESIA",0,D20*F20)</f>
      </c>
      <c r="I20" s="96">
        <f>VLOOKUP(E20,PRECIFICAÇÃO!Q:S,3,FALSE)*D20</f>
      </c>
      <c r="J20" s="96">
        <f>VLOOKUP(E20,PRECIFICAÇÃO!Q:U,4,FALSE)*D20</f>
      </c>
      <c r="K20" s="147" t="s">
        <v>22</v>
      </c>
      <c r="L20" s="149" t="s">
        <v>74</v>
      </c>
      <c r="M20" s="147"/>
    </row>
    <row x14ac:dyDescent="0.25" r="21" customHeight="1" ht="18.75">
      <c r="A21" s="65">
        <v>45761</v>
      </c>
      <c r="B21" s="147" t="s">
        <v>75</v>
      </c>
      <c r="C21" s="66">
        <f>VLOOKUP(B21,CONFIGURAÇÃO!H:I,2,FALSE)</f>
      </c>
      <c r="D21" s="66">
        <v>2</v>
      </c>
      <c r="E21" s="147" t="s">
        <v>78</v>
      </c>
      <c r="F21" s="96">
        <f>VLOOKUP(E21,PRECIFICAÇÃO!Q:R,2,0)</f>
      </c>
      <c r="G21" s="147" t="s">
        <v>73</v>
      </c>
      <c r="H21" s="96">
        <f>IF(G21="CORTESIA",0,D21*F21)</f>
      </c>
      <c r="I21" s="96">
        <f>VLOOKUP(E21,PRECIFICAÇÃO!Q:S,3,FALSE)*D21</f>
      </c>
      <c r="J21" s="96">
        <f>VLOOKUP(E21,PRECIFICAÇÃO!Q:U,4,FALSE)*D21</f>
      </c>
      <c r="K21" s="147" t="s">
        <v>22</v>
      </c>
      <c r="L21" s="149" t="s">
        <v>74</v>
      </c>
      <c r="M21" s="147"/>
    </row>
    <row x14ac:dyDescent="0.25" r="22" customHeight="1" ht="18.75">
      <c r="A22" s="65">
        <v>45761</v>
      </c>
      <c r="B22" s="147" t="s">
        <v>88</v>
      </c>
      <c r="C22" s="66">
        <f>VLOOKUP(B22,CONFIGURAÇÃO!H:I,2,FALSE)</f>
      </c>
      <c r="D22" s="66">
        <v>2</v>
      </c>
      <c r="E22" s="147" t="s">
        <v>78</v>
      </c>
      <c r="F22" s="96">
        <f>VLOOKUP(E22,PRECIFICAÇÃO!Q:R,2,0)</f>
      </c>
      <c r="G22" s="147" t="s">
        <v>73</v>
      </c>
      <c r="H22" s="96">
        <f>IF(G22="CORTESIA",0,D22*F22)</f>
      </c>
      <c r="I22" s="96">
        <f>VLOOKUP(E22,PRECIFICAÇÃO!Q:S,3,FALSE)*D22</f>
      </c>
      <c r="J22" s="96">
        <f>VLOOKUP(E22,PRECIFICAÇÃO!Q:U,4,FALSE)*D22</f>
      </c>
      <c r="K22" s="147" t="s">
        <v>22</v>
      </c>
      <c r="L22" s="149" t="s">
        <v>74</v>
      </c>
      <c r="M22" s="147"/>
    </row>
    <row x14ac:dyDescent="0.25" r="23" customHeight="1" ht="18.75">
      <c r="A23" s="65">
        <v>45761</v>
      </c>
      <c r="B23" s="147" t="s">
        <v>85</v>
      </c>
      <c r="C23" s="66">
        <f>VLOOKUP(B23,CONFIGURAÇÃO!H:I,2,FALSE)</f>
      </c>
      <c r="D23" s="66">
        <v>1</v>
      </c>
      <c r="E23" s="147" t="s">
        <v>78</v>
      </c>
      <c r="F23" s="96">
        <f>VLOOKUP(E23,PRECIFICAÇÃO!Q:R,2,0)</f>
      </c>
      <c r="G23" s="147" t="s">
        <v>73</v>
      </c>
      <c r="H23" s="96">
        <f>IF(G23="CORTESIA",0,D23*F23)</f>
      </c>
      <c r="I23" s="96">
        <f>VLOOKUP(E23,PRECIFICAÇÃO!Q:S,3,FALSE)*D23</f>
      </c>
      <c r="J23" s="96">
        <f>VLOOKUP(E23,PRECIFICAÇÃO!Q:U,4,FALSE)*D23</f>
      </c>
      <c r="K23" s="147" t="s">
        <v>22</v>
      </c>
      <c r="L23" s="149" t="s">
        <v>74</v>
      </c>
      <c r="M23" s="147" t="s">
        <v>92</v>
      </c>
    </row>
    <row x14ac:dyDescent="0.25" r="24" customHeight="1" ht="18.75">
      <c r="A24" s="65">
        <v>45761</v>
      </c>
      <c r="B24" s="147" t="s">
        <v>93</v>
      </c>
      <c r="C24" s="66">
        <f>VLOOKUP(B24,CONFIGURAÇÃO!H:I,2,FALSE)</f>
      </c>
      <c r="D24" s="66">
        <v>1</v>
      </c>
      <c r="E24" s="147" t="s">
        <v>78</v>
      </c>
      <c r="F24" s="96">
        <f>VLOOKUP(E24,PRECIFICAÇÃO!Q:R,2,0)</f>
      </c>
      <c r="G24" s="147" t="s">
        <v>73</v>
      </c>
      <c r="H24" s="96">
        <f>IF(G24="CORTESIA",0,D24*F24)</f>
      </c>
      <c r="I24" s="96">
        <f>VLOOKUP(E24,PRECIFICAÇÃO!Q:S,3,FALSE)*D24</f>
      </c>
      <c r="J24" s="96">
        <f>VLOOKUP(E24,PRECIFICAÇÃO!Q:U,4,FALSE)*D24</f>
      </c>
      <c r="K24" s="147" t="s">
        <v>22</v>
      </c>
      <c r="L24" s="149" t="s">
        <v>74</v>
      </c>
      <c r="M24" s="147"/>
    </row>
    <row x14ac:dyDescent="0.25" r="25" customHeight="1" ht="18.75">
      <c r="A25" s="65">
        <v>45761</v>
      </c>
      <c r="B25" s="147" t="s">
        <v>94</v>
      </c>
      <c r="C25" s="66">
        <f>VLOOKUP(B25,CONFIGURAÇÃO!H:I,2,FALSE)</f>
      </c>
      <c r="D25" s="66">
        <v>2</v>
      </c>
      <c r="E25" s="147" t="s">
        <v>78</v>
      </c>
      <c r="F25" s="96">
        <f>VLOOKUP(E25,PRECIFICAÇÃO!Q:R,2,0)</f>
      </c>
      <c r="G25" s="147" t="s">
        <v>73</v>
      </c>
      <c r="H25" s="96">
        <f>IF(G25="CORTESIA",0,D25*F25)</f>
      </c>
      <c r="I25" s="96">
        <f>VLOOKUP(E25,PRECIFICAÇÃO!Q:S,3,FALSE)*D25</f>
      </c>
      <c r="J25" s="96">
        <f>VLOOKUP(E25,PRECIFICAÇÃO!Q:U,4,FALSE)*D25</f>
      </c>
      <c r="K25" s="147" t="s">
        <v>22</v>
      </c>
      <c r="L25" s="149" t="s">
        <v>74</v>
      </c>
      <c r="M25" s="147"/>
    </row>
    <row x14ac:dyDescent="0.25" r="26" customHeight="1" ht="18.75">
      <c r="A26" s="65">
        <v>45761</v>
      </c>
      <c r="B26" s="147" t="s">
        <v>95</v>
      </c>
      <c r="C26" s="66">
        <f>VLOOKUP(B26,CONFIGURAÇÃO!H:I,2,FALSE)</f>
      </c>
      <c r="D26" s="66">
        <v>1</v>
      </c>
      <c r="E26" s="147" t="s">
        <v>78</v>
      </c>
      <c r="F26" s="96">
        <f>VLOOKUP(E26,PRECIFICAÇÃO!Q:R,2,0)</f>
      </c>
      <c r="G26" s="147" t="s">
        <v>73</v>
      </c>
      <c r="H26" s="96">
        <f>IF(G26="CORTESIA",0,D26*F26)</f>
      </c>
      <c r="I26" s="96">
        <f>VLOOKUP(E26,PRECIFICAÇÃO!Q:S,3,FALSE)*D26</f>
      </c>
      <c r="J26" s="96">
        <f>VLOOKUP(E26,PRECIFICAÇÃO!Q:U,4,FALSE)*D26</f>
      </c>
      <c r="K26" s="147" t="s">
        <v>22</v>
      </c>
      <c r="L26" s="149" t="s">
        <v>74</v>
      </c>
      <c r="M26" s="147"/>
    </row>
    <row x14ac:dyDescent="0.25" r="27" customHeight="1" ht="18.75">
      <c r="A27" s="65">
        <v>45761</v>
      </c>
      <c r="B27" s="147" t="s">
        <v>96</v>
      </c>
      <c r="C27" s="66">
        <f>VLOOKUP(B27,CONFIGURAÇÃO!H:I,2,FALSE)</f>
      </c>
      <c r="D27" s="66">
        <v>2</v>
      </c>
      <c r="E27" s="147" t="s">
        <v>78</v>
      </c>
      <c r="F27" s="96">
        <f>VLOOKUP(E27,PRECIFICAÇÃO!Q:R,2,0)</f>
      </c>
      <c r="G27" s="147" t="s">
        <v>73</v>
      </c>
      <c r="H27" s="96">
        <f>IF(G27="CORTESIA",0,D27*F27)</f>
      </c>
      <c r="I27" s="96">
        <f>VLOOKUP(E27,PRECIFICAÇÃO!Q:S,3,FALSE)*D27</f>
      </c>
      <c r="J27" s="96">
        <f>VLOOKUP(E27,PRECIFICAÇÃO!Q:U,4,FALSE)*D27</f>
      </c>
      <c r="K27" s="147" t="s">
        <v>22</v>
      </c>
      <c r="L27" s="149" t="s">
        <v>74</v>
      </c>
      <c r="M27" s="147"/>
    </row>
    <row x14ac:dyDescent="0.25" r="28" customHeight="1" ht="18.75">
      <c r="A28" s="65">
        <v>45761</v>
      </c>
      <c r="B28" s="147" t="s">
        <v>77</v>
      </c>
      <c r="C28" s="66">
        <f>VLOOKUP(B28,CONFIGURAÇÃO!H:I,2,FALSE)</f>
      </c>
      <c r="D28" s="66">
        <v>1</v>
      </c>
      <c r="E28" s="147" t="s">
        <v>78</v>
      </c>
      <c r="F28" s="96">
        <f>VLOOKUP(E28,PRECIFICAÇÃO!Q:R,2,0)</f>
      </c>
      <c r="G28" s="147" t="s">
        <v>73</v>
      </c>
      <c r="H28" s="96">
        <f>IF(G28="CORTESIA",0,D28*F28)</f>
      </c>
      <c r="I28" s="96">
        <f>VLOOKUP(E28,PRECIFICAÇÃO!Q:S,3,FALSE)*D28</f>
      </c>
      <c r="J28" s="96">
        <f>VLOOKUP(E28,PRECIFICAÇÃO!Q:U,4,FALSE)*D28</f>
      </c>
      <c r="K28" s="147" t="s">
        <v>22</v>
      </c>
      <c r="L28" s="149" t="s">
        <v>74</v>
      </c>
      <c r="M28" s="147"/>
    </row>
    <row x14ac:dyDescent="0.25" r="29" customHeight="1" ht="18.75">
      <c r="A29" s="65">
        <v>45761</v>
      </c>
      <c r="B29" s="147" t="s">
        <v>97</v>
      </c>
      <c r="C29" s="66">
        <f>VLOOKUP(B29,CONFIGURAÇÃO!H:I,2,FALSE)</f>
      </c>
      <c r="D29" s="66">
        <v>1</v>
      </c>
      <c r="E29" s="147" t="s">
        <v>78</v>
      </c>
      <c r="F29" s="96">
        <f>VLOOKUP(E29,PRECIFICAÇÃO!Q:R,2,0)</f>
      </c>
      <c r="G29" s="147" t="s">
        <v>73</v>
      </c>
      <c r="H29" s="96">
        <f>IF(G29="CORTESIA",0,D29*F29)</f>
      </c>
      <c r="I29" s="96">
        <f>VLOOKUP(E29,PRECIFICAÇÃO!Q:S,3,FALSE)*D29</f>
      </c>
      <c r="J29" s="96">
        <f>VLOOKUP(E29,PRECIFICAÇÃO!Q:U,4,FALSE)*D29</f>
      </c>
      <c r="K29" s="147" t="s">
        <v>22</v>
      </c>
      <c r="L29" s="149" t="s">
        <v>74</v>
      </c>
      <c r="M29" s="147"/>
    </row>
    <row x14ac:dyDescent="0.25" r="30" customHeight="1" ht="18.75">
      <c r="A30" s="65">
        <v>45761</v>
      </c>
      <c r="B30" s="147" t="s">
        <v>82</v>
      </c>
      <c r="C30" s="66">
        <f>VLOOKUP(B30,CONFIGURAÇÃO!H:I,2,FALSE)</f>
      </c>
      <c r="D30" s="66">
        <v>3</v>
      </c>
      <c r="E30" s="147" t="s">
        <v>78</v>
      </c>
      <c r="F30" s="96">
        <f>VLOOKUP(E30,PRECIFICAÇÃO!Q:R,2,0)</f>
      </c>
      <c r="G30" s="147" t="s">
        <v>73</v>
      </c>
      <c r="H30" s="96">
        <f>IF(G30="CORTESIA",0,D30*F30)</f>
      </c>
      <c r="I30" s="96">
        <f>VLOOKUP(E30,PRECIFICAÇÃO!Q:S,3,FALSE)*D30</f>
      </c>
      <c r="J30" s="96">
        <f>VLOOKUP(E30,PRECIFICAÇÃO!Q:U,4,FALSE)*D30</f>
      </c>
      <c r="K30" s="147" t="s">
        <v>22</v>
      </c>
      <c r="L30" s="149" t="s">
        <v>74</v>
      </c>
      <c r="M30" s="147"/>
    </row>
    <row x14ac:dyDescent="0.25" r="31" customHeight="1" ht="18.75">
      <c r="A31" s="65">
        <v>45761</v>
      </c>
      <c r="B31" s="147" t="s">
        <v>98</v>
      </c>
      <c r="C31" s="66">
        <v>11958230211</v>
      </c>
      <c r="D31" s="66">
        <v>1</v>
      </c>
      <c r="E31" s="147" t="s">
        <v>78</v>
      </c>
      <c r="F31" s="96">
        <f>VLOOKUP(E31,PRECIFICAÇÃO!Q:R,2,0)</f>
      </c>
      <c r="G31" s="147" t="s">
        <v>73</v>
      </c>
      <c r="H31" s="96">
        <f>IF(G31="CORTESIA",0,D31*F31)</f>
      </c>
      <c r="I31" s="96">
        <f>VLOOKUP(E31,PRECIFICAÇÃO!Q:S,3,FALSE)*D31</f>
      </c>
      <c r="J31" s="96">
        <f>VLOOKUP(E31,PRECIFICAÇÃO!Q:U,4,FALSE)*D31</f>
      </c>
      <c r="K31" s="147" t="s">
        <v>22</v>
      </c>
      <c r="L31" s="149" t="s">
        <v>74</v>
      </c>
      <c r="M31" s="147"/>
    </row>
    <row x14ac:dyDescent="0.25" r="32" customHeight="1" ht="18.75">
      <c r="A32" s="65">
        <v>45761</v>
      </c>
      <c r="B32" s="147" t="s">
        <v>99</v>
      </c>
      <c r="C32" s="66">
        <v>11934943411</v>
      </c>
      <c r="D32" s="66">
        <v>1</v>
      </c>
      <c r="E32" s="147" t="s">
        <v>78</v>
      </c>
      <c r="F32" s="96">
        <f>VLOOKUP(E32,PRECIFICAÇÃO!Q:R,2,0)</f>
      </c>
      <c r="G32" s="147" t="s">
        <v>73</v>
      </c>
      <c r="H32" s="96">
        <f>IF(G32="CORTESIA",0,D32*F32)</f>
      </c>
      <c r="I32" s="96">
        <f>VLOOKUP(E32,PRECIFICAÇÃO!Q:S,3,FALSE)*D32</f>
      </c>
      <c r="J32" s="96">
        <f>VLOOKUP(E32,PRECIFICAÇÃO!Q:U,4,FALSE)*D32</f>
      </c>
      <c r="K32" s="147" t="s">
        <v>22</v>
      </c>
      <c r="L32" s="149" t="s">
        <v>74</v>
      </c>
      <c r="M32" s="147"/>
    </row>
    <row x14ac:dyDescent="0.25" r="33" customHeight="1" ht="18.75">
      <c r="A33" s="65">
        <v>45761</v>
      </c>
      <c r="B33" s="147" t="s">
        <v>100</v>
      </c>
      <c r="C33" s="66">
        <f>VLOOKUP(B33,CONFIGURAÇÃO!H:I,2,FALSE)</f>
      </c>
      <c r="D33" s="66">
        <v>1</v>
      </c>
      <c r="E33" s="147" t="s">
        <v>78</v>
      </c>
      <c r="F33" s="96">
        <f>VLOOKUP(E33,PRECIFICAÇÃO!Q:R,2,0)</f>
      </c>
      <c r="G33" s="147" t="s">
        <v>73</v>
      </c>
      <c r="H33" s="96">
        <f>IF(G33="CORTESIA",0,D33*F33)</f>
      </c>
      <c r="I33" s="96">
        <f>VLOOKUP(E33,PRECIFICAÇÃO!Q:S,3,FALSE)*D33</f>
      </c>
      <c r="J33" s="96">
        <f>VLOOKUP(E33,PRECIFICAÇÃO!Q:U,4,FALSE)*D33</f>
      </c>
      <c r="K33" s="147" t="s">
        <v>22</v>
      </c>
      <c r="L33" s="149" t="s">
        <v>74</v>
      </c>
      <c r="M33" s="147"/>
    </row>
    <row x14ac:dyDescent="0.25" r="34" customHeight="1" ht="18.75">
      <c r="A34" s="65">
        <v>45761</v>
      </c>
      <c r="B34" s="147" t="s">
        <v>101</v>
      </c>
      <c r="C34" s="66">
        <f>VLOOKUP(B34,CONFIGURAÇÃO!H:I,2,FALSE)</f>
      </c>
      <c r="D34" s="66">
        <v>1</v>
      </c>
      <c r="E34" s="147" t="s">
        <v>78</v>
      </c>
      <c r="F34" s="96">
        <f>VLOOKUP(E34,PRECIFICAÇÃO!Q:R,2,0)</f>
      </c>
      <c r="G34" s="147" t="s">
        <v>73</v>
      </c>
      <c r="H34" s="96">
        <f>IF(G34="CORTESIA",0,D34*F34)</f>
      </c>
      <c r="I34" s="96">
        <f>VLOOKUP(E34,PRECIFICAÇÃO!Q:S,3,FALSE)*D34</f>
      </c>
      <c r="J34" s="96">
        <f>VLOOKUP(E34,PRECIFICAÇÃO!Q:U,4,FALSE)*D34</f>
      </c>
      <c r="K34" s="147" t="s">
        <v>22</v>
      </c>
      <c r="L34" s="149" t="s">
        <v>74</v>
      </c>
      <c r="M34" s="147"/>
    </row>
    <row x14ac:dyDescent="0.25" r="35" customHeight="1" ht="18.75">
      <c r="A35" s="65">
        <v>45761</v>
      </c>
      <c r="B35" s="147" t="s">
        <v>83</v>
      </c>
      <c r="C35" s="66">
        <f>VLOOKUP(B35,CONFIGURAÇÃO!H:I,2,FALSE)</f>
      </c>
      <c r="D35" s="66">
        <v>3</v>
      </c>
      <c r="E35" s="147" t="s">
        <v>78</v>
      </c>
      <c r="F35" s="96">
        <f>VLOOKUP(E35,PRECIFICAÇÃO!Q:R,2,0)</f>
      </c>
      <c r="G35" s="147" t="s">
        <v>73</v>
      </c>
      <c r="H35" s="96">
        <f>IF(G35="CORTESIA",0,D35*F35)</f>
      </c>
      <c r="I35" s="96">
        <f>VLOOKUP(E35,PRECIFICAÇÃO!Q:S,3,FALSE)*D35</f>
      </c>
      <c r="J35" s="96">
        <f>VLOOKUP(E35,PRECIFICAÇÃO!Q:U,4,FALSE)*D35</f>
      </c>
      <c r="K35" s="147" t="s">
        <v>22</v>
      </c>
      <c r="L35" s="149" t="s">
        <v>74</v>
      </c>
      <c r="M35" s="147"/>
    </row>
    <row x14ac:dyDescent="0.25" r="36" customHeight="1" ht="18.75">
      <c r="A36" s="65">
        <v>45761</v>
      </c>
      <c r="B36" s="147" t="s">
        <v>102</v>
      </c>
      <c r="C36" s="66">
        <f>VLOOKUP(B36,CONFIGURAÇÃO!H:I,2,FALSE)</f>
      </c>
      <c r="D36" s="66">
        <v>1</v>
      </c>
      <c r="E36" s="147" t="s">
        <v>78</v>
      </c>
      <c r="F36" s="96">
        <f>VLOOKUP(E36,PRECIFICAÇÃO!Q:R,2,0)</f>
      </c>
      <c r="G36" s="147" t="s">
        <v>73</v>
      </c>
      <c r="H36" s="96">
        <f>IF(G36="CORTESIA",0,D36*F36)</f>
      </c>
      <c r="I36" s="96">
        <f>VLOOKUP(E36,PRECIFICAÇÃO!Q:S,3,FALSE)*D36</f>
      </c>
      <c r="J36" s="96">
        <f>VLOOKUP(E36,PRECIFICAÇÃO!Q:U,4,FALSE)*D36</f>
      </c>
      <c r="K36" s="147" t="s">
        <v>22</v>
      </c>
      <c r="L36" s="149" t="s">
        <v>74</v>
      </c>
      <c r="M36" s="147"/>
    </row>
    <row x14ac:dyDescent="0.25" r="37" customHeight="1" ht="18.75">
      <c r="A37" s="65">
        <v>45761</v>
      </c>
      <c r="B37" s="147" t="s">
        <v>103</v>
      </c>
      <c r="C37" s="66">
        <f>VLOOKUP(B37,CONFIGURAÇÃO!H:I,2,FALSE)</f>
      </c>
      <c r="D37" s="66">
        <v>1</v>
      </c>
      <c r="E37" s="147" t="s">
        <v>78</v>
      </c>
      <c r="F37" s="96">
        <f>VLOOKUP(E37,PRECIFICAÇÃO!Q:R,2,0)</f>
      </c>
      <c r="G37" s="147" t="s">
        <v>73</v>
      </c>
      <c r="H37" s="96">
        <f>IF(G37="CORTESIA",0,D37*F37)</f>
      </c>
      <c r="I37" s="96">
        <f>VLOOKUP(E37,PRECIFICAÇÃO!Q:S,3,FALSE)*D37</f>
      </c>
      <c r="J37" s="96">
        <f>VLOOKUP(E37,PRECIFICAÇÃO!Q:U,4,FALSE)*D37</f>
      </c>
      <c r="K37" s="147" t="s">
        <v>22</v>
      </c>
      <c r="L37" s="149" t="s">
        <v>74</v>
      </c>
      <c r="M37" s="147"/>
    </row>
    <row x14ac:dyDescent="0.25" r="38" customHeight="1" ht="18.75">
      <c r="A38" s="65">
        <v>45761</v>
      </c>
      <c r="B38" s="147" t="s">
        <v>104</v>
      </c>
      <c r="C38" s="66">
        <f>VLOOKUP(B38,CONFIGURAÇÃO!H:I,2,FALSE)</f>
      </c>
      <c r="D38" s="66">
        <v>1</v>
      </c>
      <c r="E38" s="147" t="s">
        <v>78</v>
      </c>
      <c r="F38" s="96">
        <f>VLOOKUP(E38,PRECIFICAÇÃO!Q:R,2,0)</f>
      </c>
      <c r="G38" s="147" t="s">
        <v>73</v>
      </c>
      <c r="H38" s="96">
        <f>IF(G38="CORTESIA",0,D38*F38)</f>
      </c>
      <c r="I38" s="96">
        <f>VLOOKUP(E38,PRECIFICAÇÃO!Q:S,3,FALSE)*D38</f>
      </c>
      <c r="J38" s="96">
        <f>VLOOKUP(E38,PRECIFICAÇÃO!Q:U,4,FALSE)*D38</f>
      </c>
      <c r="K38" s="147" t="s">
        <v>21</v>
      </c>
      <c r="L38" s="149" t="s">
        <v>74</v>
      </c>
      <c r="M38" s="147"/>
    </row>
    <row x14ac:dyDescent="0.25" r="39" customHeight="1" ht="18.75">
      <c r="A39" s="65">
        <v>45761</v>
      </c>
      <c r="B39" s="147" t="s">
        <v>105</v>
      </c>
      <c r="C39" s="66">
        <f>VLOOKUP(B39,CONFIGURAÇÃO!H:I,2,FALSE)</f>
      </c>
      <c r="D39" s="66">
        <v>2</v>
      </c>
      <c r="E39" s="147" t="s">
        <v>78</v>
      </c>
      <c r="F39" s="96">
        <f>VLOOKUP(E39,PRECIFICAÇÃO!Q:R,2,0)</f>
      </c>
      <c r="G39" s="147" t="s">
        <v>73</v>
      </c>
      <c r="H39" s="96">
        <f>IF(G39="CORTESIA",0,D39*F39)</f>
      </c>
      <c r="I39" s="96">
        <f>VLOOKUP(E39,PRECIFICAÇÃO!Q:S,3,FALSE)*D39</f>
      </c>
      <c r="J39" s="96">
        <f>VLOOKUP(E39,PRECIFICAÇÃO!Q:U,4,FALSE)*D39</f>
      </c>
      <c r="K39" s="147" t="s">
        <v>21</v>
      </c>
      <c r="L39" s="149" t="s">
        <v>74</v>
      </c>
      <c r="M39" s="147"/>
    </row>
    <row x14ac:dyDescent="0.25" r="40" customHeight="1" ht="18.75">
      <c r="A40" s="65">
        <v>45761</v>
      </c>
      <c r="B40" s="147" t="s">
        <v>105</v>
      </c>
      <c r="C40" s="66">
        <f>VLOOKUP(B40,CONFIGURAÇÃO!H:I,2,FALSE)</f>
      </c>
      <c r="D40" s="66">
        <v>1</v>
      </c>
      <c r="E40" s="147" t="s">
        <v>106</v>
      </c>
      <c r="F40" s="96">
        <f>VLOOKUP(E40,PRECIFICAÇÃO!Q:R,2,0)</f>
      </c>
      <c r="G40" s="147" t="s">
        <v>73</v>
      </c>
      <c r="H40" s="96">
        <f>IF(G40="CORTESIA",0,D40*F40)</f>
      </c>
      <c r="I40" s="96">
        <f>VLOOKUP(E40,PRECIFICAÇÃO!Q:S,3,FALSE)*D40</f>
      </c>
      <c r="J40" s="96">
        <f>VLOOKUP(E40,PRECIFICAÇÃO!Q:U,4,FALSE)*D40</f>
      </c>
      <c r="K40" s="147" t="s">
        <v>21</v>
      </c>
      <c r="L40" s="149" t="s">
        <v>74</v>
      </c>
      <c r="M40" s="147"/>
    </row>
    <row x14ac:dyDescent="0.25" r="41" customHeight="1" ht="18.75">
      <c r="A41" s="65">
        <v>45761</v>
      </c>
      <c r="B41" s="147" t="s">
        <v>107</v>
      </c>
      <c r="C41" s="66">
        <f>VLOOKUP(B41,CONFIGURAÇÃO!H:I,2,FALSE)</f>
      </c>
      <c r="D41" s="66">
        <v>1</v>
      </c>
      <c r="E41" s="147" t="s">
        <v>106</v>
      </c>
      <c r="F41" s="96">
        <f>VLOOKUP(E41,PRECIFICAÇÃO!Q:R,2,0)</f>
      </c>
      <c r="G41" s="147" t="s">
        <v>73</v>
      </c>
      <c r="H41" s="96">
        <f>IF(G41="CORTESIA",0,D41*F41)</f>
      </c>
      <c r="I41" s="96">
        <f>VLOOKUP(E41,PRECIFICAÇÃO!Q:S,3,FALSE)*D41</f>
      </c>
      <c r="J41" s="96">
        <f>VLOOKUP(E41,PRECIFICAÇÃO!Q:U,4,FALSE)*D41</f>
      </c>
      <c r="K41" s="147" t="s">
        <v>21</v>
      </c>
      <c r="L41" s="149" t="s">
        <v>74</v>
      </c>
      <c r="M41" s="147"/>
    </row>
    <row x14ac:dyDescent="0.25" r="42" customHeight="1" ht="18.75">
      <c r="A42" s="65">
        <v>45761</v>
      </c>
      <c r="B42" s="147" t="s">
        <v>108</v>
      </c>
      <c r="C42" s="66">
        <f>VLOOKUP(B42,CONFIGURAÇÃO!H:I,2,FALSE)</f>
      </c>
      <c r="D42" s="66">
        <v>2</v>
      </c>
      <c r="E42" s="147" t="s">
        <v>109</v>
      </c>
      <c r="F42" s="96">
        <f>VLOOKUP(E42,PRECIFICAÇÃO!Q:R,2,0)</f>
      </c>
      <c r="G42" s="147" t="s">
        <v>73</v>
      </c>
      <c r="H42" s="96">
        <f>IF(G42="CORTESIA",0,D42*F42)</f>
      </c>
      <c r="I42" s="96">
        <f>VLOOKUP(E42,PRECIFICAÇÃO!Q:S,3,FALSE)*D42</f>
      </c>
      <c r="J42" s="96">
        <f>VLOOKUP(E42,PRECIFICAÇÃO!Q:U,4,FALSE)*D42</f>
      </c>
      <c r="K42" s="147" t="s">
        <v>21</v>
      </c>
      <c r="L42" s="149" t="s">
        <v>74</v>
      </c>
      <c r="M42" s="147"/>
    </row>
    <row x14ac:dyDescent="0.25" r="43" customHeight="1" ht="18.75">
      <c r="A43" s="65">
        <v>45761</v>
      </c>
      <c r="B43" s="147" t="s">
        <v>110</v>
      </c>
      <c r="C43" s="66">
        <f>VLOOKUP(B43,CONFIGURAÇÃO!H:I,2,FALSE)</f>
      </c>
      <c r="D43" s="66">
        <v>1</v>
      </c>
      <c r="E43" s="147" t="s">
        <v>78</v>
      </c>
      <c r="F43" s="96">
        <f>VLOOKUP(E43,PRECIFICAÇÃO!Q:R,2,0)</f>
      </c>
      <c r="G43" s="147" t="s">
        <v>73</v>
      </c>
      <c r="H43" s="96">
        <f>IF(G43="CORTESIA",0,D43*F43)</f>
      </c>
      <c r="I43" s="96">
        <f>VLOOKUP(E43,PRECIFICAÇÃO!Q:S,3,FALSE)*D43</f>
      </c>
      <c r="J43" s="96">
        <f>VLOOKUP(E43,PRECIFICAÇÃO!Q:U,4,FALSE)*D43</f>
      </c>
      <c r="K43" s="147" t="s">
        <v>21</v>
      </c>
      <c r="L43" s="149" t="s">
        <v>74</v>
      </c>
      <c r="M43" s="147"/>
    </row>
    <row x14ac:dyDescent="0.25" r="44" customHeight="1" ht="18.75">
      <c r="A44" s="65">
        <v>45761</v>
      </c>
      <c r="B44" s="147" t="s">
        <v>111</v>
      </c>
      <c r="C44" s="66">
        <f>VLOOKUP(B44,CONFIGURAÇÃO!H:I,2,FALSE)</f>
      </c>
      <c r="D44" s="66">
        <v>1</v>
      </c>
      <c r="E44" s="147" t="s">
        <v>109</v>
      </c>
      <c r="F44" s="96">
        <f>VLOOKUP(E44,PRECIFICAÇÃO!Q:R,2,0)</f>
      </c>
      <c r="G44" s="147" t="s">
        <v>73</v>
      </c>
      <c r="H44" s="96">
        <f>IF(G44="CORTESIA",0,D44*F44)</f>
      </c>
      <c r="I44" s="96">
        <f>VLOOKUP(E44,PRECIFICAÇÃO!Q:S,3,FALSE)*D44</f>
      </c>
      <c r="J44" s="96">
        <f>VLOOKUP(E44,PRECIFICAÇÃO!Q:U,4,FALSE)*D44</f>
      </c>
      <c r="K44" s="147" t="s">
        <v>21</v>
      </c>
      <c r="L44" s="149" t="s">
        <v>74</v>
      </c>
      <c r="M44" s="147"/>
    </row>
    <row x14ac:dyDescent="0.25" r="45" customHeight="1" ht="18.75">
      <c r="A45" s="65">
        <v>45761</v>
      </c>
      <c r="B45" s="147" t="s">
        <v>112</v>
      </c>
      <c r="C45" s="66">
        <f>VLOOKUP(B45,CONFIGURAÇÃO!H:I,2,FALSE)</f>
      </c>
      <c r="D45" s="66">
        <v>1</v>
      </c>
      <c r="E45" s="147" t="s">
        <v>78</v>
      </c>
      <c r="F45" s="96">
        <f>VLOOKUP(E45,PRECIFICAÇÃO!Q:R,2,0)</f>
      </c>
      <c r="G45" s="147" t="s">
        <v>73</v>
      </c>
      <c r="H45" s="96">
        <f>IF(G45="CORTESIA",0,D45*F45)</f>
      </c>
      <c r="I45" s="96">
        <f>VLOOKUP(E45,PRECIFICAÇÃO!Q:S,3,FALSE)*D45</f>
      </c>
      <c r="J45" s="96">
        <f>VLOOKUP(E45,PRECIFICAÇÃO!Q:U,4,FALSE)*D45</f>
      </c>
      <c r="K45" s="147" t="s">
        <v>21</v>
      </c>
      <c r="L45" s="149" t="s">
        <v>74</v>
      </c>
      <c r="M45" s="147"/>
    </row>
    <row x14ac:dyDescent="0.25" r="46" customHeight="1" ht="18.75">
      <c r="A46" s="67">
        <v>45762</v>
      </c>
      <c r="B46" s="147" t="s">
        <v>113</v>
      </c>
      <c r="C46" s="66">
        <f>VLOOKUP(B46,CONFIGURAÇÃO!H:I,2,FALSE)</f>
      </c>
      <c r="D46" s="148">
        <v>1</v>
      </c>
      <c r="E46" s="147" t="s">
        <v>76</v>
      </c>
      <c r="F46" s="96">
        <f>VLOOKUP(E46,PRECIFICAÇÃO!Q:R,2,0)</f>
      </c>
      <c r="G46" s="147" t="s">
        <v>73</v>
      </c>
      <c r="H46" s="96">
        <f>IF(G46="CORTESIA",0,D46*F46)</f>
      </c>
      <c r="I46" s="96">
        <f>VLOOKUP(E46,PRECIFICAÇÃO!Q:S,3,FALSE)*D46</f>
      </c>
      <c r="J46" s="96">
        <f>VLOOKUP(E46,PRECIFICAÇÃO!Q:U,4,FALSE)*D46</f>
      </c>
      <c r="K46" s="147" t="s">
        <v>22</v>
      </c>
      <c r="L46" s="149" t="s">
        <v>74</v>
      </c>
      <c r="M46" s="149"/>
    </row>
    <row x14ac:dyDescent="0.25" r="47" customHeight="1" ht="18.75">
      <c r="A47" s="67">
        <v>45762</v>
      </c>
      <c r="B47" s="147" t="s">
        <v>91</v>
      </c>
      <c r="C47" s="66">
        <f>VLOOKUP(B47,CONFIGURAÇÃO!H:I,2,FALSE)</f>
      </c>
      <c r="D47" s="148">
        <v>2</v>
      </c>
      <c r="E47" s="147" t="s">
        <v>76</v>
      </c>
      <c r="F47" s="96">
        <f>VLOOKUP(E47,PRECIFICAÇÃO!Q:R,2,0)</f>
      </c>
      <c r="G47" s="147" t="s">
        <v>73</v>
      </c>
      <c r="H47" s="96">
        <f>IF(G47="CORTESIA",0,D47*F47)</f>
      </c>
      <c r="I47" s="96">
        <f>VLOOKUP(E47,PRECIFICAÇÃO!Q:S,3,FALSE)*D47</f>
      </c>
      <c r="J47" s="96">
        <f>VLOOKUP(E47,PRECIFICAÇÃO!Q:U,4,FALSE)*D47</f>
      </c>
      <c r="K47" s="147" t="s">
        <v>22</v>
      </c>
      <c r="L47" s="149" t="s">
        <v>74</v>
      </c>
      <c r="M47" s="149"/>
    </row>
    <row x14ac:dyDescent="0.25" r="48" customHeight="1" ht="18.75">
      <c r="A48" s="67">
        <v>45762</v>
      </c>
      <c r="B48" s="147" t="s">
        <v>114</v>
      </c>
      <c r="C48" s="66">
        <f>VLOOKUP(B48,CONFIGURAÇÃO!H:I,2,FALSE)</f>
      </c>
      <c r="D48" s="148">
        <v>1</v>
      </c>
      <c r="E48" s="147" t="s">
        <v>106</v>
      </c>
      <c r="F48" s="96">
        <f>VLOOKUP(E48,PRECIFICAÇÃO!Q:R,2,0)</f>
      </c>
      <c r="G48" s="147" t="s">
        <v>73</v>
      </c>
      <c r="H48" s="96">
        <f>IF(G48="CORTESIA",0,D48*F48)</f>
      </c>
      <c r="I48" s="96">
        <f>VLOOKUP(E48,PRECIFICAÇÃO!Q:S,3,FALSE)*D48</f>
      </c>
      <c r="J48" s="96">
        <f>VLOOKUP(E48,PRECIFICAÇÃO!Q:U,4,FALSE)*D48</f>
      </c>
      <c r="K48" s="147" t="s">
        <v>22</v>
      </c>
      <c r="L48" s="149" t="s">
        <v>74</v>
      </c>
      <c r="M48" s="149"/>
    </row>
    <row x14ac:dyDescent="0.25" r="49" customHeight="1" ht="18.75">
      <c r="A49" s="67">
        <v>45762</v>
      </c>
      <c r="B49" s="147" t="s">
        <v>115</v>
      </c>
      <c r="C49" s="66">
        <f>VLOOKUP(B49,CONFIGURAÇÃO!H:I,2,FALSE)</f>
      </c>
      <c r="D49" s="148">
        <v>2</v>
      </c>
      <c r="E49" s="147" t="s">
        <v>72</v>
      </c>
      <c r="F49" s="96">
        <f>VLOOKUP(E49,PRECIFICAÇÃO!Q:R,2,0)</f>
      </c>
      <c r="G49" s="147" t="s">
        <v>73</v>
      </c>
      <c r="H49" s="96">
        <f>IF(G49="CORTESIA",0,D49*F49)</f>
      </c>
      <c r="I49" s="96">
        <f>VLOOKUP(E49,PRECIFICAÇÃO!Q:S,3,FALSE)*D49</f>
      </c>
      <c r="J49" s="96">
        <f>VLOOKUP(E49,PRECIFICAÇÃO!Q:U,4,FALSE)*D49</f>
      </c>
      <c r="K49" s="147" t="s">
        <v>22</v>
      </c>
      <c r="L49" s="149" t="s">
        <v>74</v>
      </c>
      <c r="M49" s="149"/>
    </row>
    <row x14ac:dyDescent="0.25" r="50" customHeight="1" ht="18.75">
      <c r="A50" s="67">
        <v>45762</v>
      </c>
      <c r="B50" s="147" t="s">
        <v>116</v>
      </c>
      <c r="C50" s="66">
        <f>VLOOKUP(B50,CONFIGURAÇÃO!H:I,2,FALSE)</f>
      </c>
      <c r="D50" s="148">
        <v>1</v>
      </c>
      <c r="E50" s="147" t="s">
        <v>72</v>
      </c>
      <c r="F50" s="96">
        <f>VLOOKUP(E50,PRECIFICAÇÃO!Q:R,2,0)</f>
      </c>
      <c r="G50" s="147" t="s">
        <v>73</v>
      </c>
      <c r="H50" s="96">
        <f>IF(G50="CORTESIA",0,D50*F50)</f>
      </c>
      <c r="I50" s="96">
        <f>VLOOKUP(E50,PRECIFICAÇÃO!Q:S,3,FALSE)*D50</f>
      </c>
      <c r="J50" s="96">
        <f>VLOOKUP(E50,PRECIFICAÇÃO!Q:U,4,FALSE)*D50</f>
      </c>
      <c r="K50" s="147" t="s">
        <v>22</v>
      </c>
      <c r="L50" s="149" t="s">
        <v>74</v>
      </c>
      <c r="M50" s="149"/>
    </row>
    <row x14ac:dyDescent="0.25" r="51" customHeight="1" ht="18.75">
      <c r="A51" s="67">
        <v>45762</v>
      </c>
      <c r="B51" s="147" t="s">
        <v>117</v>
      </c>
      <c r="C51" s="66">
        <f>VLOOKUP(B51,CONFIGURAÇÃO!H:I,2,FALSE)</f>
      </c>
      <c r="D51" s="148">
        <v>1</v>
      </c>
      <c r="E51" s="147" t="s">
        <v>76</v>
      </c>
      <c r="F51" s="96">
        <f>VLOOKUP(E51,PRECIFICAÇÃO!Q:R,2,0)</f>
      </c>
      <c r="G51" s="147" t="s">
        <v>73</v>
      </c>
      <c r="H51" s="96">
        <f>IF(G51="CORTESIA",0,D51*F51)</f>
      </c>
      <c r="I51" s="96">
        <f>VLOOKUP(E51,PRECIFICAÇÃO!Q:S,3,FALSE)*D51</f>
      </c>
      <c r="J51" s="96">
        <f>VLOOKUP(E51,PRECIFICAÇÃO!Q:U,4,FALSE)*D51</f>
      </c>
      <c r="K51" s="147" t="s">
        <v>22</v>
      </c>
      <c r="L51" s="149" t="s">
        <v>74</v>
      </c>
      <c r="M51" s="149"/>
    </row>
    <row x14ac:dyDescent="0.25" r="52" customHeight="1" ht="18.75">
      <c r="A52" s="67">
        <v>45762</v>
      </c>
      <c r="B52" s="147" t="s">
        <v>118</v>
      </c>
      <c r="C52" s="66">
        <f>VLOOKUP(B52,CONFIGURAÇÃO!H:I,2,FALSE)</f>
      </c>
      <c r="D52" s="148">
        <v>1</v>
      </c>
      <c r="E52" s="147" t="s">
        <v>76</v>
      </c>
      <c r="F52" s="96">
        <f>VLOOKUP(E52,PRECIFICAÇÃO!Q:R,2,0)</f>
      </c>
      <c r="G52" s="147" t="s">
        <v>73</v>
      </c>
      <c r="H52" s="96">
        <f>IF(G52="CORTESIA",0,D52*F52)</f>
      </c>
      <c r="I52" s="96">
        <f>VLOOKUP(E52,PRECIFICAÇÃO!Q:S,3,FALSE)*D52</f>
      </c>
      <c r="J52" s="96">
        <f>VLOOKUP(E52,PRECIFICAÇÃO!Q:U,4,FALSE)*D52</f>
      </c>
      <c r="K52" s="147" t="s">
        <v>22</v>
      </c>
      <c r="L52" s="149" t="s">
        <v>74</v>
      </c>
      <c r="M52" s="149"/>
    </row>
    <row x14ac:dyDescent="0.25" r="53" customHeight="1" ht="18.75">
      <c r="A53" s="67">
        <v>45762</v>
      </c>
      <c r="B53" s="147" t="s">
        <v>101</v>
      </c>
      <c r="C53" s="66">
        <f>VLOOKUP(B53,CONFIGURAÇÃO!H:I,2,FALSE)</f>
      </c>
      <c r="D53" s="148">
        <v>1</v>
      </c>
      <c r="E53" s="147" t="s">
        <v>76</v>
      </c>
      <c r="F53" s="96">
        <f>VLOOKUP(E53,PRECIFICAÇÃO!Q:R,2,0)</f>
      </c>
      <c r="G53" s="147" t="s">
        <v>73</v>
      </c>
      <c r="H53" s="96">
        <f>IF(G53="CORTESIA",0,D53*F53)</f>
      </c>
      <c r="I53" s="96">
        <f>VLOOKUP(E53,PRECIFICAÇÃO!Q:S,3,FALSE)*D53</f>
      </c>
      <c r="J53" s="96">
        <f>VLOOKUP(E53,PRECIFICAÇÃO!Q:U,4,FALSE)*D53</f>
      </c>
      <c r="K53" s="147" t="s">
        <v>22</v>
      </c>
      <c r="L53" s="149" t="s">
        <v>74</v>
      </c>
      <c r="M53" s="149"/>
    </row>
    <row x14ac:dyDescent="0.25" r="54" customHeight="1" ht="18.75">
      <c r="A54" s="67">
        <v>45762</v>
      </c>
      <c r="B54" s="147" t="s">
        <v>83</v>
      </c>
      <c r="C54" s="66">
        <f>VLOOKUP(B54,CONFIGURAÇÃO!H:I,2,FALSE)</f>
      </c>
      <c r="D54" s="148">
        <v>1</v>
      </c>
      <c r="E54" s="147" t="s">
        <v>72</v>
      </c>
      <c r="F54" s="96">
        <f>VLOOKUP(E54,PRECIFICAÇÃO!Q:R,2,0)</f>
      </c>
      <c r="G54" s="147" t="s">
        <v>73</v>
      </c>
      <c r="H54" s="96">
        <f>IF(G54="CORTESIA",0,D54*F54)</f>
      </c>
      <c r="I54" s="96">
        <f>VLOOKUP(E54,PRECIFICAÇÃO!Q:S,3,FALSE)*D54</f>
      </c>
      <c r="J54" s="96">
        <f>VLOOKUP(E54,PRECIFICAÇÃO!Q:U,4,FALSE)*D54</f>
      </c>
      <c r="K54" s="147" t="s">
        <v>22</v>
      </c>
      <c r="L54" s="149" t="s">
        <v>74</v>
      </c>
      <c r="M54" s="149"/>
    </row>
    <row x14ac:dyDescent="0.25" r="55" customHeight="1" ht="18.75">
      <c r="A55" s="67">
        <v>45762</v>
      </c>
      <c r="B55" s="147" t="s">
        <v>88</v>
      </c>
      <c r="C55" s="66">
        <f>VLOOKUP(B55,CONFIGURAÇÃO!H:I,2,FALSE)</f>
      </c>
      <c r="D55" s="148">
        <v>1</v>
      </c>
      <c r="E55" s="147" t="s">
        <v>76</v>
      </c>
      <c r="F55" s="96">
        <f>VLOOKUP(E55,PRECIFICAÇÃO!Q:R,2,0)</f>
      </c>
      <c r="G55" s="147" t="s">
        <v>73</v>
      </c>
      <c r="H55" s="96">
        <f>IF(G55="CORTESIA",0,D55*F55)</f>
      </c>
      <c r="I55" s="96">
        <f>VLOOKUP(E55,PRECIFICAÇÃO!Q:S,3,FALSE)*D55</f>
      </c>
      <c r="J55" s="96">
        <f>VLOOKUP(E55,PRECIFICAÇÃO!Q:U,4,FALSE)*D55</f>
      </c>
      <c r="K55" s="147" t="s">
        <v>22</v>
      </c>
      <c r="L55" s="149" t="s">
        <v>74</v>
      </c>
      <c r="M55" s="149"/>
    </row>
    <row x14ac:dyDescent="0.25" r="56" customHeight="1" ht="18.75">
      <c r="A56" s="67">
        <v>45762</v>
      </c>
      <c r="B56" s="147" t="s">
        <v>119</v>
      </c>
      <c r="C56" s="66">
        <f>VLOOKUP(B56,CONFIGURAÇÃO!H:I,2,FALSE)</f>
      </c>
      <c r="D56" s="148">
        <v>1</v>
      </c>
      <c r="E56" s="147" t="s">
        <v>76</v>
      </c>
      <c r="F56" s="96">
        <f>VLOOKUP(E56,PRECIFICAÇÃO!Q:R,2,0)</f>
      </c>
      <c r="G56" s="147" t="s">
        <v>73</v>
      </c>
      <c r="H56" s="96">
        <f>IF(G56="CORTESIA",0,D56*F56)</f>
      </c>
      <c r="I56" s="96">
        <f>VLOOKUP(E56,PRECIFICAÇÃO!Q:S,3,FALSE)*D56</f>
      </c>
      <c r="J56" s="96">
        <f>VLOOKUP(E56,PRECIFICAÇÃO!Q:U,4,FALSE)*D56</f>
      </c>
      <c r="K56" s="147" t="s">
        <v>22</v>
      </c>
      <c r="L56" s="149" t="s">
        <v>74</v>
      </c>
      <c r="M56" s="149"/>
    </row>
    <row x14ac:dyDescent="0.25" r="57" customHeight="1" ht="18.75">
      <c r="A57" s="67">
        <v>45762</v>
      </c>
      <c r="B57" s="147" t="s">
        <v>120</v>
      </c>
      <c r="C57" s="66">
        <f>VLOOKUP(B57,CONFIGURAÇÃO!H:I,2,FALSE)</f>
      </c>
      <c r="D57" s="148">
        <v>1</v>
      </c>
      <c r="E57" s="147" t="s">
        <v>76</v>
      </c>
      <c r="F57" s="96">
        <f>VLOOKUP(E57,PRECIFICAÇÃO!Q:R,2,0)</f>
      </c>
      <c r="G57" s="147" t="s">
        <v>73</v>
      </c>
      <c r="H57" s="96">
        <f>IF(G57="CORTESIA",0,D57*F57)</f>
      </c>
      <c r="I57" s="96">
        <f>VLOOKUP(E57,PRECIFICAÇÃO!Q:S,3,FALSE)*D57</f>
      </c>
      <c r="J57" s="96">
        <f>VLOOKUP(E57,PRECIFICAÇÃO!Q:U,4,FALSE)*D57</f>
      </c>
      <c r="K57" s="147" t="s">
        <v>22</v>
      </c>
      <c r="L57" s="149" t="s">
        <v>74</v>
      </c>
      <c r="M57" s="149"/>
    </row>
    <row x14ac:dyDescent="0.25" r="58" customHeight="1" ht="18.75">
      <c r="A58" s="67">
        <v>45762</v>
      </c>
      <c r="B58" s="147" t="s">
        <v>121</v>
      </c>
      <c r="C58" s="66">
        <f>VLOOKUP(B58,CONFIGURAÇÃO!H:I,2,FALSE)</f>
      </c>
      <c r="D58" s="148">
        <v>1</v>
      </c>
      <c r="E58" s="147" t="s">
        <v>76</v>
      </c>
      <c r="F58" s="96">
        <f>VLOOKUP(E58,PRECIFICAÇÃO!Q:R,2,0)</f>
      </c>
      <c r="G58" s="147" t="s">
        <v>73</v>
      </c>
      <c r="H58" s="96">
        <f>IF(G58="CORTESIA",0,D58*F58)</f>
      </c>
      <c r="I58" s="96">
        <f>VLOOKUP(E58,PRECIFICAÇÃO!Q:S,3,FALSE)*D58</f>
      </c>
      <c r="J58" s="96">
        <f>VLOOKUP(E58,PRECIFICAÇÃO!Q:U,4,FALSE)*D58</f>
      </c>
      <c r="K58" s="147" t="s">
        <v>22</v>
      </c>
      <c r="L58" s="149" t="s">
        <v>74</v>
      </c>
      <c r="M58" s="149"/>
    </row>
    <row x14ac:dyDescent="0.25" r="59" customHeight="1" ht="18.75">
      <c r="A59" s="67">
        <v>45762</v>
      </c>
      <c r="B59" s="147" t="s">
        <v>75</v>
      </c>
      <c r="C59" s="66">
        <f>VLOOKUP(B59,CONFIGURAÇÃO!H:I,2,FALSE)</f>
      </c>
      <c r="D59" s="148">
        <v>1</v>
      </c>
      <c r="E59" s="147" t="s">
        <v>72</v>
      </c>
      <c r="F59" s="96">
        <f>VLOOKUP(E59,PRECIFICAÇÃO!Q:R,2,0)</f>
      </c>
      <c r="G59" s="147" t="s">
        <v>73</v>
      </c>
      <c r="H59" s="96">
        <f>IF(G59="CORTESIA",0,D59*F59)</f>
      </c>
      <c r="I59" s="96">
        <f>VLOOKUP(E59,PRECIFICAÇÃO!Q:S,3,FALSE)*D59</f>
      </c>
      <c r="J59" s="96">
        <f>VLOOKUP(E59,PRECIFICAÇÃO!Q:U,4,FALSE)*D59</f>
      </c>
      <c r="K59" s="147" t="s">
        <v>22</v>
      </c>
      <c r="L59" s="149" t="s">
        <v>74</v>
      </c>
      <c r="M59" s="149"/>
    </row>
    <row x14ac:dyDescent="0.25" r="60" customHeight="1" ht="18.75">
      <c r="A60" s="67">
        <v>45762</v>
      </c>
      <c r="B60" s="147" t="s">
        <v>122</v>
      </c>
      <c r="C60" s="66">
        <f>VLOOKUP(B60,CONFIGURAÇÃO!H:I,2,FALSE)</f>
      </c>
      <c r="D60" s="148">
        <v>1</v>
      </c>
      <c r="E60" s="147" t="s">
        <v>72</v>
      </c>
      <c r="F60" s="96">
        <f>VLOOKUP(E60,PRECIFICAÇÃO!Q:R,2,0)</f>
      </c>
      <c r="G60" s="147" t="s">
        <v>73</v>
      </c>
      <c r="H60" s="96">
        <f>IF(G60="CORTESIA",0,D60*F60)</f>
      </c>
      <c r="I60" s="96">
        <f>VLOOKUP(E60,PRECIFICAÇÃO!Q:S,3,FALSE)*D60</f>
      </c>
      <c r="J60" s="96">
        <f>VLOOKUP(E60,PRECIFICAÇÃO!Q:U,4,FALSE)*D60</f>
      </c>
      <c r="K60" s="147" t="s">
        <v>22</v>
      </c>
      <c r="L60" s="149" t="s">
        <v>74</v>
      </c>
      <c r="M60" s="149"/>
    </row>
    <row x14ac:dyDescent="0.25" r="61" customHeight="1" ht="18.75">
      <c r="A61" s="67">
        <v>45762</v>
      </c>
      <c r="B61" s="147" t="s">
        <v>123</v>
      </c>
      <c r="C61" s="66">
        <f>VLOOKUP(B61,CONFIGURAÇÃO!H:I,2,FALSE)</f>
      </c>
      <c r="D61" s="148">
        <v>1</v>
      </c>
      <c r="E61" s="147" t="s">
        <v>72</v>
      </c>
      <c r="F61" s="96">
        <f>VLOOKUP(E61,PRECIFICAÇÃO!Q:R,2,0)</f>
      </c>
      <c r="G61" s="147" t="s">
        <v>73</v>
      </c>
      <c r="H61" s="96">
        <f>IF(G61="CORTESIA",0,D61*F61)</f>
      </c>
      <c r="I61" s="96">
        <f>VLOOKUP(E61,PRECIFICAÇÃO!Q:S,3,FALSE)*D61</f>
      </c>
      <c r="J61" s="96">
        <f>VLOOKUP(E61,PRECIFICAÇÃO!Q:U,4,FALSE)*D61</f>
      </c>
      <c r="K61" s="147" t="s">
        <v>22</v>
      </c>
      <c r="L61" s="149" t="s">
        <v>74</v>
      </c>
      <c r="M61" s="149"/>
    </row>
    <row x14ac:dyDescent="0.25" r="62" customHeight="1" ht="18.75">
      <c r="A62" s="67">
        <v>45762</v>
      </c>
      <c r="B62" s="147" t="s">
        <v>124</v>
      </c>
      <c r="C62" s="66">
        <f>VLOOKUP(B62,CONFIGURAÇÃO!H:I,2,FALSE)</f>
      </c>
      <c r="D62" s="148">
        <v>1</v>
      </c>
      <c r="E62" s="147" t="s">
        <v>72</v>
      </c>
      <c r="F62" s="96">
        <f>VLOOKUP(E62,PRECIFICAÇÃO!Q:R,2,0)</f>
      </c>
      <c r="G62" s="147" t="s">
        <v>73</v>
      </c>
      <c r="H62" s="96">
        <f>IF(G62="CORTESIA",0,D62*F62)</f>
      </c>
      <c r="I62" s="96">
        <f>VLOOKUP(E62,PRECIFICAÇÃO!Q:S,3,FALSE)*D62</f>
      </c>
      <c r="J62" s="96">
        <f>VLOOKUP(E62,PRECIFICAÇÃO!Q:U,4,FALSE)*D62</f>
      </c>
      <c r="K62" s="147" t="s">
        <v>22</v>
      </c>
      <c r="L62" s="149" t="s">
        <v>74</v>
      </c>
      <c r="M62" s="149"/>
    </row>
    <row x14ac:dyDescent="0.25" r="63" customHeight="1" ht="18.75">
      <c r="A63" s="67">
        <v>45762</v>
      </c>
      <c r="B63" s="147" t="s">
        <v>125</v>
      </c>
      <c r="C63" s="66">
        <f>VLOOKUP(B63,CONFIGURAÇÃO!H:I,2,FALSE)</f>
      </c>
      <c r="D63" s="148">
        <v>1</v>
      </c>
      <c r="E63" s="147" t="s">
        <v>72</v>
      </c>
      <c r="F63" s="96">
        <f>VLOOKUP(E63,PRECIFICAÇÃO!Q:R,2,0)</f>
      </c>
      <c r="G63" s="147" t="s">
        <v>73</v>
      </c>
      <c r="H63" s="96">
        <f>IF(G63="CORTESIA",0,D63*F63)</f>
      </c>
      <c r="I63" s="96">
        <f>VLOOKUP(E63,PRECIFICAÇÃO!Q:S,3,FALSE)*D63</f>
      </c>
      <c r="J63" s="96">
        <f>VLOOKUP(E63,PRECIFICAÇÃO!Q:U,4,FALSE)*D63</f>
      </c>
      <c r="K63" s="147" t="s">
        <v>22</v>
      </c>
      <c r="L63" s="149" t="s">
        <v>74</v>
      </c>
      <c r="M63" s="149"/>
    </row>
    <row x14ac:dyDescent="0.25" r="64" customHeight="1" ht="18.75">
      <c r="A64" s="67">
        <v>45762</v>
      </c>
      <c r="B64" s="147" t="s">
        <v>126</v>
      </c>
      <c r="C64" s="66">
        <f>VLOOKUP(B64,CONFIGURAÇÃO!H:I,2,FALSE)</f>
      </c>
      <c r="D64" s="148">
        <v>1</v>
      </c>
      <c r="E64" s="147" t="s">
        <v>72</v>
      </c>
      <c r="F64" s="96">
        <f>VLOOKUP(E64,PRECIFICAÇÃO!Q:R,2,0)</f>
      </c>
      <c r="G64" s="147" t="s">
        <v>73</v>
      </c>
      <c r="H64" s="96">
        <f>IF(G64="CORTESIA",0,D64*F64)</f>
      </c>
      <c r="I64" s="96">
        <f>VLOOKUP(E64,PRECIFICAÇÃO!Q:S,3,FALSE)*D64</f>
      </c>
      <c r="J64" s="96">
        <f>VLOOKUP(E64,PRECIFICAÇÃO!Q:U,4,FALSE)*D64</f>
      </c>
      <c r="K64" s="147" t="s">
        <v>22</v>
      </c>
      <c r="L64" s="149" t="s">
        <v>74</v>
      </c>
      <c r="M64" s="149"/>
    </row>
    <row x14ac:dyDescent="0.25" r="65" customHeight="1" ht="18.75">
      <c r="A65" s="67">
        <v>45762</v>
      </c>
      <c r="B65" s="147" t="s">
        <v>127</v>
      </c>
      <c r="C65" s="66">
        <f>VLOOKUP(B65,CONFIGURAÇÃO!H:I,2,FALSE)</f>
      </c>
      <c r="D65" s="148">
        <v>1</v>
      </c>
      <c r="E65" s="147" t="s">
        <v>76</v>
      </c>
      <c r="F65" s="96">
        <f>VLOOKUP(E65,PRECIFICAÇÃO!Q:R,2,0)</f>
      </c>
      <c r="G65" s="147" t="s">
        <v>73</v>
      </c>
      <c r="H65" s="96">
        <f>IF(G65="CORTESIA",0,D65*F65)</f>
      </c>
      <c r="I65" s="96">
        <f>VLOOKUP(E65,PRECIFICAÇÃO!Q:S,3,FALSE)*D65</f>
      </c>
      <c r="J65" s="96">
        <f>VLOOKUP(E65,PRECIFICAÇÃO!Q:U,4,FALSE)*D65</f>
      </c>
      <c r="K65" s="147" t="s">
        <v>22</v>
      </c>
      <c r="L65" s="149" t="s">
        <v>74</v>
      </c>
      <c r="M65" s="149"/>
    </row>
    <row x14ac:dyDescent="0.25" r="66" customHeight="1" ht="18.75">
      <c r="A66" s="67">
        <v>45763</v>
      </c>
      <c r="B66" s="147" t="s">
        <v>75</v>
      </c>
      <c r="C66" s="66">
        <f>VLOOKUP(B66,CONFIGURAÇÃO!H:I,2,FALSE)</f>
      </c>
      <c r="D66" s="148">
        <v>3</v>
      </c>
      <c r="E66" s="147" t="s">
        <v>78</v>
      </c>
      <c r="F66" s="96">
        <f>VLOOKUP(E66,PRECIFICAÇÃO!Q:R,2,0)</f>
      </c>
      <c r="G66" s="147" t="s">
        <v>73</v>
      </c>
      <c r="H66" s="96">
        <f>IF(G66="CORTESIA",0,D66*F66)</f>
      </c>
      <c r="I66" s="96">
        <f>VLOOKUP(E66,PRECIFICAÇÃO!Q:S,3,FALSE)*D66</f>
      </c>
      <c r="J66" s="96">
        <f>VLOOKUP(E66,PRECIFICAÇÃO!Q:U,4,FALSE)*D66</f>
      </c>
      <c r="K66" s="147" t="s">
        <v>22</v>
      </c>
      <c r="L66" s="149" t="s">
        <v>74</v>
      </c>
      <c r="M66" s="149"/>
    </row>
    <row x14ac:dyDescent="0.25" r="67" customHeight="1" ht="18.75">
      <c r="A67" s="67">
        <v>45763</v>
      </c>
      <c r="B67" s="147" t="s">
        <v>120</v>
      </c>
      <c r="C67" s="66">
        <f>VLOOKUP(B67,CONFIGURAÇÃO!H:I,2,FALSE)</f>
      </c>
      <c r="D67" s="148">
        <v>1</v>
      </c>
      <c r="E67" s="147" t="s">
        <v>78</v>
      </c>
      <c r="F67" s="96">
        <f>VLOOKUP(E67,PRECIFICAÇÃO!Q:R,2,0)</f>
      </c>
      <c r="G67" s="147" t="s">
        <v>73</v>
      </c>
      <c r="H67" s="96">
        <f>IF(G67="CORTESIA",0,D67*F67)</f>
      </c>
      <c r="I67" s="96">
        <f>VLOOKUP(E67,PRECIFICAÇÃO!Q:S,3,FALSE)*D67</f>
      </c>
      <c r="J67" s="96">
        <f>VLOOKUP(E67,PRECIFICAÇÃO!Q:U,4,FALSE)*D67</f>
      </c>
      <c r="K67" s="147" t="s">
        <v>22</v>
      </c>
      <c r="L67" s="149" t="s">
        <v>74</v>
      </c>
      <c r="M67" s="149"/>
    </row>
    <row x14ac:dyDescent="0.25" r="68" customHeight="1" ht="18.75">
      <c r="A68" s="67">
        <v>45763</v>
      </c>
      <c r="B68" s="147" t="s">
        <v>83</v>
      </c>
      <c r="C68" s="66">
        <f>VLOOKUP(B68,CONFIGURAÇÃO!H:I,2,FALSE)</f>
      </c>
      <c r="D68" s="148">
        <v>2</v>
      </c>
      <c r="E68" s="147" t="s">
        <v>78</v>
      </c>
      <c r="F68" s="96">
        <f>VLOOKUP(E68,PRECIFICAÇÃO!Q:R,2,0)</f>
      </c>
      <c r="G68" s="147" t="s">
        <v>73</v>
      </c>
      <c r="H68" s="96">
        <f>IF(G68="CORTESIA",0,D68*F68)</f>
      </c>
      <c r="I68" s="96">
        <f>VLOOKUP(E68,PRECIFICAÇÃO!Q:S,3,FALSE)*D68</f>
      </c>
      <c r="J68" s="96">
        <f>VLOOKUP(E68,PRECIFICAÇÃO!Q:U,4,FALSE)*D68</f>
      </c>
      <c r="K68" s="147" t="s">
        <v>22</v>
      </c>
      <c r="L68" s="149" t="s">
        <v>74</v>
      </c>
      <c r="M68" s="149"/>
    </row>
    <row x14ac:dyDescent="0.25" r="69" customHeight="1" ht="18.75">
      <c r="A69" s="67">
        <v>45763</v>
      </c>
      <c r="B69" s="147" t="s">
        <v>83</v>
      </c>
      <c r="C69" s="66">
        <f>VLOOKUP(B69,CONFIGURAÇÃO!H:I,2,FALSE)</f>
      </c>
      <c r="D69" s="148">
        <v>1</v>
      </c>
      <c r="E69" s="147" t="s">
        <v>72</v>
      </c>
      <c r="F69" s="96">
        <f>VLOOKUP(E69,PRECIFICAÇÃO!Q:R,2,0)</f>
      </c>
      <c r="G69" s="147" t="s">
        <v>73</v>
      </c>
      <c r="H69" s="96">
        <f>IF(G69="CORTESIA",0,D69*F69)</f>
      </c>
      <c r="I69" s="96">
        <f>VLOOKUP(E69,PRECIFICAÇÃO!Q:S,3,FALSE)*D69</f>
      </c>
      <c r="J69" s="96">
        <f>VLOOKUP(E69,PRECIFICAÇÃO!Q:U,4,FALSE)*D69</f>
      </c>
      <c r="K69" s="147" t="s">
        <v>22</v>
      </c>
      <c r="L69" s="149" t="s">
        <v>74</v>
      </c>
      <c r="M69" s="149"/>
    </row>
    <row x14ac:dyDescent="0.25" r="70" customHeight="1" ht="18.75">
      <c r="A70" s="67">
        <v>45763</v>
      </c>
      <c r="B70" s="147" t="s">
        <v>85</v>
      </c>
      <c r="C70" s="66">
        <f>VLOOKUP(B70,CONFIGURAÇÃO!H:I,2,FALSE)</f>
      </c>
      <c r="D70" s="148">
        <v>1</v>
      </c>
      <c r="E70" s="147" t="s">
        <v>78</v>
      </c>
      <c r="F70" s="96">
        <f>VLOOKUP(E70,PRECIFICAÇÃO!Q:R,2,0)</f>
      </c>
      <c r="G70" s="147" t="s">
        <v>73</v>
      </c>
      <c r="H70" s="96">
        <f>IF(G70="CORTESIA",0,D70*F70)</f>
      </c>
      <c r="I70" s="96">
        <f>VLOOKUP(E70,PRECIFICAÇÃO!Q:S,3,FALSE)*D70</f>
      </c>
      <c r="J70" s="96">
        <f>VLOOKUP(E70,PRECIFICAÇÃO!Q:U,4,FALSE)*D70</f>
      </c>
      <c r="K70" s="147" t="s">
        <v>22</v>
      </c>
      <c r="L70" s="149" t="s">
        <v>74</v>
      </c>
      <c r="M70" s="149"/>
    </row>
    <row x14ac:dyDescent="0.25" r="71" customHeight="1" ht="18.75">
      <c r="A71" s="67">
        <v>45763</v>
      </c>
      <c r="B71" s="147" t="s">
        <v>128</v>
      </c>
      <c r="C71" s="66">
        <f>VLOOKUP(B71,CONFIGURAÇÃO!H:I,2,FALSE)</f>
      </c>
      <c r="D71" s="148">
        <v>1</v>
      </c>
      <c r="E71" s="147" t="s">
        <v>76</v>
      </c>
      <c r="F71" s="96">
        <f>VLOOKUP(E71,PRECIFICAÇÃO!Q:R,2,0)</f>
      </c>
      <c r="G71" s="147" t="s">
        <v>73</v>
      </c>
      <c r="H71" s="96">
        <f>IF(G71="CORTESIA",0,D71*F71)</f>
      </c>
      <c r="I71" s="96">
        <f>VLOOKUP(E71,PRECIFICAÇÃO!Q:S,3,FALSE)*D71</f>
      </c>
      <c r="J71" s="96">
        <f>VLOOKUP(E71,PRECIFICAÇÃO!Q:U,4,FALSE)*D71</f>
      </c>
      <c r="K71" s="147" t="s">
        <v>22</v>
      </c>
      <c r="L71" s="149" t="s">
        <v>74</v>
      </c>
      <c r="M71" s="149"/>
    </row>
    <row x14ac:dyDescent="0.25" r="72" customHeight="1" ht="18.75">
      <c r="A72" s="67">
        <v>45763</v>
      </c>
      <c r="B72" s="147" t="s">
        <v>129</v>
      </c>
      <c r="C72" s="66">
        <f>VLOOKUP(B72,CONFIGURAÇÃO!H:I,2,FALSE)</f>
      </c>
      <c r="D72" s="148">
        <v>1</v>
      </c>
      <c r="E72" s="147" t="s">
        <v>76</v>
      </c>
      <c r="F72" s="96">
        <f>VLOOKUP(E72,PRECIFICAÇÃO!Q:R,2,0)</f>
      </c>
      <c r="G72" s="147" t="s">
        <v>73</v>
      </c>
      <c r="H72" s="96">
        <f>IF(G72="CORTESIA",0,D72*F72)</f>
      </c>
      <c r="I72" s="96">
        <f>VLOOKUP(E72,PRECIFICAÇÃO!Q:S,3,FALSE)*D72</f>
      </c>
      <c r="J72" s="96">
        <f>VLOOKUP(E72,PRECIFICAÇÃO!Q:U,4,FALSE)*D72</f>
      </c>
      <c r="K72" s="147" t="s">
        <v>22</v>
      </c>
      <c r="L72" s="149" t="s">
        <v>74</v>
      </c>
      <c r="M72" s="149"/>
    </row>
    <row x14ac:dyDescent="0.25" r="73" customHeight="1" ht="18.75">
      <c r="A73" s="67">
        <v>45763</v>
      </c>
      <c r="B73" s="147" t="s">
        <v>129</v>
      </c>
      <c r="C73" s="66">
        <f>VLOOKUP(B73,CONFIGURAÇÃO!H:I,2,FALSE)</f>
      </c>
      <c r="D73" s="148">
        <v>1</v>
      </c>
      <c r="E73" s="147" t="s">
        <v>78</v>
      </c>
      <c r="F73" s="96">
        <f>VLOOKUP(E73,PRECIFICAÇÃO!Q:R,2,0)</f>
      </c>
      <c r="G73" s="147" t="s">
        <v>73</v>
      </c>
      <c r="H73" s="96">
        <f>IF(G73="CORTESIA",0,D73*F73)</f>
      </c>
      <c r="I73" s="96">
        <f>VLOOKUP(E73,PRECIFICAÇÃO!Q:S,3,FALSE)*D73</f>
      </c>
      <c r="J73" s="96">
        <f>VLOOKUP(E73,PRECIFICAÇÃO!Q:U,4,FALSE)*D73</f>
      </c>
      <c r="K73" s="147" t="s">
        <v>22</v>
      </c>
      <c r="L73" s="149" t="s">
        <v>74</v>
      </c>
      <c r="M73" s="149"/>
    </row>
    <row x14ac:dyDescent="0.25" r="74" customHeight="1" ht="18.75">
      <c r="A74" s="67">
        <v>45763</v>
      </c>
      <c r="B74" s="147" t="s">
        <v>88</v>
      </c>
      <c r="C74" s="66">
        <f>VLOOKUP(B74,CONFIGURAÇÃO!H:I,2,FALSE)</f>
      </c>
      <c r="D74" s="148">
        <v>1</v>
      </c>
      <c r="E74" s="147" t="s">
        <v>78</v>
      </c>
      <c r="F74" s="96">
        <f>VLOOKUP(E74,PRECIFICAÇÃO!Q:R,2,0)</f>
      </c>
      <c r="G74" s="147" t="s">
        <v>73</v>
      </c>
      <c r="H74" s="96">
        <f>IF(G74="CORTESIA",0,D74*F74)</f>
      </c>
      <c r="I74" s="96">
        <f>VLOOKUP(E74,PRECIFICAÇÃO!Q:S,3,FALSE)*D74</f>
      </c>
      <c r="J74" s="96">
        <f>VLOOKUP(E74,PRECIFICAÇÃO!Q:U,4,FALSE)*D74</f>
      </c>
      <c r="K74" s="147" t="s">
        <v>22</v>
      </c>
      <c r="L74" s="149" t="s">
        <v>74</v>
      </c>
      <c r="M74" s="149"/>
    </row>
    <row x14ac:dyDescent="0.25" r="75" customHeight="1" ht="18.75">
      <c r="A75" s="67">
        <v>45763</v>
      </c>
      <c r="B75" s="147" t="s">
        <v>82</v>
      </c>
      <c r="C75" s="66">
        <f>VLOOKUP(B75,CONFIGURAÇÃO!H:I,2,FALSE)</f>
      </c>
      <c r="D75" s="150">
        <v>4</v>
      </c>
      <c r="E75" s="147" t="s">
        <v>78</v>
      </c>
      <c r="F75" s="96">
        <f>VLOOKUP(E75,PRECIFICAÇÃO!Q:R,2,0)</f>
      </c>
      <c r="G75" s="147" t="s">
        <v>73</v>
      </c>
      <c r="H75" s="96">
        <f>IF(G75="CORTESIA",0,D75*F75)</f>
      </c>
      <c r="I75" s="96">
        <f>VLOOKUP(E75,PRECIFICAÇÃO!Q:S,3,FALSE)*D75</f>
      </c>
      <c r="J75" s="96">
        <f>VLOOKUP(E75,PRECIFICAÇÃO!Q:U,4,FALSE)*D75</f>
      </c>
      <c r="K75" s="147" t="s">
        <v>22</v>
      </c>
      <c r="L75" s="151" t="s">
        <v>74</v>
      </c>
      <c r="M75" s="151"/>
    </row>
    <row x14ac:dyDescent="0.25" r="76" customHeight="1" ht="18.75">
      <c r="A76" s="67">
        <v>45763</v>
      </c>
      <c r="B76" s="147" t="s">
        <v>89</v>
      </c>
      <c r="C76" s="66">
        <f>VLOOKUP(B76,CONFIGURAÇÃO!H:I,2,FALSE)</f>
      </c>
      <c r="D76" s="150">
        <v>1</v>
      </c>
      <c r="E76" s="147" t="s">
        <v>76</v>
      </c>
      <c r="F76" s="96">
        <f>VLOOKUP(E76,PRECIFICAÇÃO!Q:R,2,0)</f>
      </c>
      <c r="G76" s="147" t="s">
        <v>73</v>
      </c>
      <c r="H76" s="96">
        <f>IF(G76="CORTESIA",0,D76*F76)</f>
      </c>
      <c r="I76" s="96">
        <f>VLOOKUP(E76,PRECIFICAÇÃO!Q:S,3,FALSE)*D76</f>
      </c>
      <c r="J76" s="96">
        <f>VLOOKUP(E76,PRECIFICAÇÃO!Q:U,4,FALSE)*D76</f>
      </c>
      <c r="K76" s="147" t="s">
        <v>22</v>
      </c>
      <c r="L76" s="151" t="s">
        <v>74</v>
      </c>
      <c r="M76" s="151"/>
    </row>
    <row x14ac:dyDescent="0.25" r="77" customHeight="1" ht="18.75">
      <c r="A77" s="67">
        <v>45763</v>
      </c>
      <c r="B77" s="147" t="s">
        <v>130</v>
      </c>
      <c r="C77" s="66">
        <f>VLOOKUP(B77,CONFIGURAÇÃO!H:I,2,FALSE)</f>
      </c>
      <c r="D77" s="150">
        <v>1</v>
      </c>
      <c r="E77" s="147" t="s">
        <v>76</v>
      </c>
      <c r="F77" s="96">
        <f>VLOOKUP(E77,PRECIFICAÇÃO!Q:R,2,0)</f>
      </c>
      <c r="G77" s="147" t="s">
        <v>73</v>
      </c>
      <c r="H77" s="96">
        <f>IF(G77="CORTESIA",0,D77*F77)</f>
      </c>
      <c r="I77" s="96">
        <f>VLOOKUP(E77,PRECIFICAÇÃO!Q:S,3,FALSE)*D77</f>
      </c>
      <c r="J77" s="96">
        <f>VLOOKUP(E77,PRECIFICAÇÃO!Q:U,4,FALSE)*D77</f>
      </c>
      <c r="K77" s="147" t="s">
        <v>22</v>
      </c>
      <c r="L77" s="151" t="s">
        <v>74</v>
      </c>
      <c r="M77" s="151"/>
    </row>
    <row x14ac:dyDescent="0.25" r="78" customHeight="1" ht="18.75">
      <c r="A78" s="67">
        <v>45763</v>
      </c>
      <c r="B78" s="147" t="s">
        <v>131</v>
      </c>
      <c r="C78" s="66">
        <f>VLOOKUP(B78,CONFIGURAÇÃO!H:I,2,FALSE)</f>
      </c>
      <c r="D78" s="150">
        <v>1</v>
      </c>
      <c r="E78" s="147" t="s">
        <v>76</v>
      </c>
      <c r="F78" s="96">
        <f>VLOOKUP(E78,PRECIFICAÇÃO!Q:R,2,0)</f>
      </c>
      <c r="G78" s="147" t="s">
        <v>73</v>
      </c>
      <c r="H78" s="96">
        <f>IF(G78="CORTESIA",0,D78*F78)</f>
      </c>
      <c r="I78" s="96">
        <f>VLOOKUP(E78,PRECIFICAÇÃO!Q:S,3,FALSE)*D78</f>
      </c>
      <c r="J78" s="96">
        <f>VLOOKUP(E78,PRECIFICAÇÃO!Q:U,4,FALSE)*D78</f>
      </c>
      <c r="K78" s="147" t="s">
        <v>22</v>
      </c>
      <c r="L78" s="151" t="s">
        <v>74</v>
      </c>
      <c r="M78" s="151"/>
    </row>
    <row x14ac:dyDescent="0.25" r="79" customHeight="1" ht="18.75">
      <c r="A79" s="67">
        <v>45763</v>
      </c>
      <c r="B79" s="147" t="s">
        <v>132</v>
      </c>
      <c r="C79" s="66">
        <f>VLOOKUP(B79,CONFIGURAÇÃO!H:I,2,FALSE)</f>
      </c>
      <c r="D79" s="150">
        <v>1</v>
      </c>
      <c r="E79" s="147" t="s">
        <v>76</v>
      </c>
      <c r="F79" s="96">
        <f>VLOOKUP(E79,PRECIFICAÇÃO!Q:R,2,0)</f>
      </c>
      <c r="G79" s="147" t="s">
        <v>73</v>
      </c>
      <c r="H79" s="96">
        <f>IF(G79="CORTESIA",0,D79*F79)</f>
      </c>
      <c r="I79" s="96">
        <f>VLOOKUP(E79,PRECIFICAÇÃO!Q:S,3,FALSE)*D79</f>
      </c>
      <c r="J79" s="96">
        <f>VLOOKUP(E79,PRECIFICAÇÃO!Q:U,4,FALSE)*D79</f>
      </c>
      <c r="K79" s="147" t="s">
        <v>22</v>
      </c>
      <c r="L79" s="151" t="s">
        <v>74</v>
      </c>
      <c r="M79" s="151"/>
    </row>
    <row x14ac:dyDescent="0.25" r="80" customHeight="1" ht="18.75">
      <c r="A80" s="67">
        <v>45763</v>
      </c>
      <c r="B80" s="147" t="s">
        <v>71</v>
      </c>
      <c r="C80" s="66">
        <f>VLOOKUP(B80,CONFIGURAÇÃO!H:I,2,FALSE)</f>
      </c>
      <c r="D80" s="150">
        <v>1</v>
      </c>
      <c r="E80" s="147" t="s">
        <v>78</v>
      </c>
      <c r="F80" s="96">
        <f>VLOOKUP(E80,PRECIFICAÇÃO!Q:R,2,0)</f>
      </c>
      <c r="G80" s="147" t="s">
        <v>73</v>
      </c>
      <c r="H80" s="96">
        <f>IF(G80="CORTESIA",0,D80*F80)</f>
      </c>
      <c r="I80" s="96">
        <f>VLOOKUP(E80,PRECIFICAÇÃO!Q:S,3,FALSE)*D80</f>
      </c>
      <c r="J80" s="96">
        <f>VLOOKUP(E80,PRECIFICAÇÃO!Q:U,4,FALSE)*D80</f>
      </c>
      <c r="K80" s="147" t="s">
        <v>22</v>
      </c>
      <c r="L80" s="151" t="s">
        <v>74</v>
      </c>
      <c r="M80" s="151"/>
    </row>
    <row x14ac:dyDescent="0.25" r="81" customHeight="1" ht="18.75">
      <c r="A81" s="67">
        <v>45763</v>
      </c>
      <c r="B81" s="147" t="s">
        <v>91</v>
      </c>
      <c r="C81" s="66">
        <f>VLOOKUP(B81,CONFIGURAÇÃO!H:I,2,FALSE)</f>
      </c>
      <c r="D81" s="150">
        <v>6</v>
      </c>
      <c r="E81" s="147" t="s">
        <v>72</v>
      </c>
      <c r="F81" s="96">
        <f>VLOOKUP(E81,PRECIFICAÇÃO!Q:R,2,0)</f>
      </c>
      <c r="G81" s="147" t="s">
        <v>73</v>
      </c>
      <c r="H81" s="96">
        <f>IF(G81="CORTESIA",0,D81*F81)</f>
      </c>
      <c r="I81" s="96">
        <f>VLOOKUP(E81,PRECIFICAÇÃO!Q:S,3,FALSE)*D81</f>
      </c>
      <c r="J81" s="96">
        <f>VLOOKUP(E81,PRECIFICAÇÃO!Q:U,4,FALSE)*D81</f>
      </c>
      <c r="K81" s="147" t="s">
        <v>22</v>
      </c>
      <c r="L81" s="151" t="s">
        <v>74</v>
      </c>
      <c r="M81" s="151"/>
    </row>
    <row x14ac:dyDescent="0.25" r="82" customHeight="1" ht="18.75">
      <c r="A82" s="67">
        <v>45763</v>
      </c>
      <c r="B82" s="147" t="s">
        <v>81</v>
      </c>
      <c r="C82" s="66">
        <f>VLOOKUP(B82,CONFIGURAÇÃO!H:I,2,FALSE)</f>
      </c>
      <c r="D82" s="150">
        <v>2</v>
      </c>
      <c r="E82" s="147" t="s">
        <v>78</v>
      </c>
      <c r="F82" s="96">
        <f>VLOOKUP(E82,PRECIFICAÇÃO!Q:R,2,0)</f>
      </c>
      <c r="G82" s="147" t="s">
        <v>73</v>
      </c>
      <c r="H82" s="96">
        <f>IF(G82="CORTESIA",0,D82*F82)</f>
      </c>
      <c r="I82" s="96">
        <f>VLOOKUP(E82,PRECIFICAÇÃO!Q:S,3,FALSE)*D82</f>
      </c>
      <c r="J82" s="96">
        <f>VLOOKUP(E82,PRECIFICAÇÃO!Q:U,4,FALSE)*D82</f>
      </c>
      <c r="K82" s="147" t="s">
        <v>22</v>
      </c>
      <c r="L82" s="151" t="s">
        <v>74</v>
      </c>
      <c r="M82" s="151"/>
    </row>
    <row x14ac:dyDescent="0.25" r="83" customHeight="1" ht="18.75">
      <c r="A83" s="67">
        <v>45763</v>
      </c>
      <c r="B83" s="147" t="s">
        <v>79</v>
      </c>
      <c r="C83" s="66">
        <f>VLOOKUP(B83,CONFIGURAÇÃO!H:I,2,FALSE)</f>
      </c>
      <c r="D83" s="150">
        <v>1</v>
      </c>
      <c r="E83" s="147" t="s">
        <v>78</v>
      </c>
      <c r="F83" s="96">
        <f>VLOOKUP(E83,PRECIFICAÇÃO!Q:R,2,0)</f>
      </c>
      <c r="G83" s="147" t="s">
        <v>73</v>
      </c>
      <c r="H83" s="96">
        <f>IF(G83="CORTESIA",0,D83*F83)</f>
      </c>
      <c r="I83" s="96">
        <f>VLOOKUP(E83,PRECIFICAÇÃO!Q:S,3,FALSE)*D83</f>
      </c>
      <c r="J83" s="96">
        <f>VLOOKUP(E83,PRECIFICAÇÃO!Q:U,4,FALSE)*D83</f>
      </c>
      <c r="K83" s="147" t="s">
        <v>22</v>
      </c>
      <c r="L83" s="151" t="s">
        <v>74</v>
      </c>
      <c r="M83" s="151"/>
    </row>
    <row x14ac:dyDescent="0.25" r="84" customHeight="1" ht="18.75">
      <c r="A84" s="67">
        <v>45763</v>
      </c>
      <c r="B84" s="147" t="s">
        <v>133</v>
      </c>
      <c r="C84" s="66">
        <f>VLOOKUP(B84,CONFIGURAÇÃO!H:I,2,FALSE)</f>
      </c>
      <c r="D84" s="150">
        <v>1</v>
      </c>
      <c r="E84" s="147" t="s">
        <v>76</v>
      </c>
      <c r="F84" s="96">
        <f>VLOOKUP(E84,PRECIFICAÇÃO!Q:R,2,0)</f>
      </c>
      <c r="G84" s="147" t="s">
        <v>73</v>
      </c>
      <c r="H84" s="96">
        <f>IF(G84="CORTESIA",0,D84*F84)</f>
      </c>
      <c r="I84" s="96">
        <f>VLOOKUP(E84,PRECIFICAÇÃO!Q:S,3,FALSE)*D84</f>
      </c>
      <c r="J84" s="96">
        <f>VLOOKUP(E84,PRECIFICAÇÃO!Q:U,4,FALSE)*D84</f>
      </c>
      <c r="K84" s="147" t="s">
        <v>22</v>
      </c>
      <c r="L84" s="151" t="s">
        <v>74</v>
      </c>
      <c r="M84" s="151"/>
    </row>
    <row x14ac:dyDescent="0.25" r="85" customHeight="1" ht="18.75">
      <c r="A85" s="67">
        <v>45763</v>
      </c>
      <c r="B85" s="147" t="s">
        <v>134</v>
      </c>
      <c r="C85" s="66">
        <f>VLOOKUP(B85,CONFIGURAÇÃO!H:I,2,FALSE)</f>
      </c>
      <c r="D85" s="150">
        <v>1</v>
      </c>
      <c r="E85" s="147" t="s">
        <v>78</v>
      </c>
      <c r="F85" s="96">
        <f>VLOOKUP(E85,PRECIFICAÇÃO!Q:R,2,0)</f>
      </c>
      <c r="G85" s="147" t="s">
        <v>73</v>
      </c>
      <c r="H85" s="96">
        <f>IF(G85="CORTESIA",0,D85*F85)</f>
      </c>
      <c r="I85" s="96">
        <f>VLOOKUP(E85,PRECIFICAÇÃO!Q:S,3,FALSE)*D85</f>
      </c>
      <c r="J85" s="96">
        <f>VLOOKUP(E85,PRECIFICAÇÃO!Q:U,4,FALSE)*D85</f>
      </c>
      <c r="K85" s="147" t="s">
        <v>22</v>
      </c>
      <c r="L85" s="151" t="s">
        <v>74</v>
      </c>
      <c r="M85" s="151"/>
    </row>
    <row x14ac:dyDescent="0.25" r="86" customHeight="1" ht="18.75">
      <c r="A86" s="67">
        <v>45763</v>
      </c>
      <c r="B86" s="147" t="s">
        <v>96</v>
      </c>
      <c r="C86" s="66">
        <f>VLOOKUP(B86,CONFIGURAÇÃO!H:I,2,FALSE)</f>
      </c>
      <c r="D86" s="150">
        <v>1</v>
      </c>
      <c r="E86" s="147" t="s">
        <v>78</v>
      </c>
      <c r="F86" s="96">
        <f>VLOOKUP(E86,PRECIFICAÇÃO!Q:R,2,0)</f>
      </c>
      <c r="G86" s="147" t="s">
        <v>73</v>
      </c>
      <c r="H86" s="96">
        <f>IF(G86="CORTESIA",0,D86*F86)</f>
      </c>
      <c r="I86" s="96">
        <f>VLOOKUP(E86,PRECIFICAÇÃO!Q:S,3,FALSE)*D86</f>
      </c>
      <c r="J86" s="96">
        <f>VLOOKUP(E86,PRECIFICAÇÃO!Q:U,4,FALSE)*D86</f>
      </c>
      <c r="K86" s="147" t="s">
        <v>22</v>
      </c>
      <c r="L86" s="151" t="s">
        <v>74</v>
      </c>
      <c r="M86" s="151"/>
    </row>
    <row x14ac:dyDescent="0.25" r="87" customHeight="1" ht="18.75">
      <c r="A87" s="67">
        <v>45763</v>
      </c>
      <c r="B87" s="147" t="s">
        <v>96</v>
      </c>
      <c r="C87" s="66">
        <f>VLOOKUP(B87,CONFIGURAÇÃO!H:I,2,FALSE)</f>
      </c>
      <c r="D87" s="150">
        <v>1</v>
      </c>
      <c r="E87" s="147" t="s">
        <v>72</v>
      </c>
      <c r="F87" s="96">
        <f>VLOOKUP(E87,PRECIFICAÇÃO!Q:R,2,0)</f>
      </c>
      <c r="G87" s="147" t="s">
        <v>73</v>
      </c>
      <c r="H87" s="96">
        <f>IF(G87="CORTESIA",0,D87*F87)</f>
      </c>
      <c r="I87" s="96">
        <f>VLOOKUP(E87,PRECIFICAÇÃO!Q:S,3,FALSE)*D87</f>
      </c>
      <c r="J87" s="96">
        <f>VLOOKUP(E87,PRECIFICAÇÃO!Q:U,4,FALSE)*D87</f>
      </c>
      <c r="K87" s="147" t="s">
        <v>22</v>
      </c>
      <c r="L87" s="151" t="s">
        <v>74</v>
      </c>
      <c r="M87" s="151"/>
    </row>
    <row x14ac:dyDescent="0.25" r="88" customHeight="1" ht="18.75">
      <c r="A88" s="67">
        <v>45763</v>
      </c>
      <c r="B88" s="147" t="s">
        <v>135</v>
      </c>
      <c r="C88" s="66">
        <f>VLOOKUP(B88,CONFIGURAÇÃO!H:I,2,FALSE)</f>
      </c>
      <c r="D88" s="150">
        <v>1</v>
      </c>
      <c r="E88" s="147" t="s">
        <v>78</v>
      </c>
      <c r="F88" s="96">
        <f>VLOOKUP(E88,PRECIFICAÇÃO!Q:R,2,0)</f>
      </c>
      <c r="G88" s="147" t="s">
        <v>73</v>
      </c>
      <c r="H88" s="96">
        <f>IF(G88="CORTESIA",0,D88*F88)</f>
      </c>
      <c r="I88" s="96">
        <f>VLOOKUP(E88,PRECIFICAÇÃO!Q:S,3,FALSE)*D88</f>
      </c>
      <c r="J88" s="96">
        <f>VLOOKUP(E88,PRECIFICAÇÃO!Q:U,4,FALSE)*D88</f>
      </c>
      <c r="K88" s="147" t="s">
        <v>22</v>
      </c>
      <c r="L88" s="151" t="s">
        <v>74</v>
      </c>
      <c r="M88" s="151"/>
    </row>
    <row x14ac:dyDescent="0.25" r="89" customHeight="1" ht="18.75">
      <c r="A89" s="67">
        <v>45763</v>
      </c>
      <c r="B89" s="147" t="s">
        <v>136</v>
      </c>
      <c r="C89" s="66">
        <f>VLOOKUP(B89,CONFIGURAÇÃO!H:I,2,FALSE)</f>
      </c>
      <c r="D89" s="150">
        <v>1</v>
      </c>
      <c r="E89" s="147" t="s">
        <v>78</v>
      </c>
      <c r="F89" s="96">
        <f>VLOOKUP(E89,PRECIFICAÇÃO!Q:R,2,0)</f>
      </c>
      <c r="G89" s="147" t="s">
        <v>73</v>
      </c>
      <c r="H89" s="96">
        <f>IF(G89="CORTESIA",0,D89*F89)</f>
      </c>
      <c r="I89" s="96">
        <f>VLOOKUP(E89,PRECIFICAÇÃO!Q:S,3,FALSE)*D89</f>
      </c>
      <c r="J89" s="96">
        <f>VLOOKUP(E89,PRECIFICAÇÃO!Q:U,4,FALSE)*D89</f>
      </c>
      <c r="K89" s="147" t="s">
        <v>22</v>
      </c>
      <c r="L89" s="151" t="s">
        <v>74</v>
      </c>
      <c r="M89" s="151"/>
    </row>
    <row x14ac:dyDescent="0.25" r="90" customHeight="1" ht="18.75">
      <c r="A90" s="67">
        <v>45763</v>
      </c>
      <c r="B90" s="147" t="s">
        <v>137</v>
      </c>
      <c r="C90" s="66">
        <f>VLOOKUP(B90,CONFIGURAÇÃO!H:I,2,FALSE)</f>
      </c>
      <c r="D90" s="150">
        <v>1</v>
      </c>
      <c r="E90" s="147" t="s">
        <v>78</v>
      </c>
      <c r="F90" s="96">
        <f>VLOOKUP(E90,PRECIFICAÇÃO!Q:R,2,0)</f>
      </c>
      <c r="G90" s="147" t="s">
        <v>73</v>
      </c>
      <c r="H90" s="96">
        <f>IF(G90="CORTESIA",0,D90*F90)</f>
      </c>
      <c r="I90" s="96">
        <f>VLOOKUP(E90,PRECIFICAÇÃO!Q:S,3,FALSE)*D90</f>
      </c>
      <c r="J90" s="96">
        <f>VLOOKUP(E90,PRECIFICAÇÃO!Q:U,4,FALSE)*D90</f>
      </c>
      <c r="K90" s="147" t="s">
        <v>22</v>
      </c>
      <c r="L90" s="151" t="s">
        <v>74</v>
      </c>
      <c r="M90" s="151"/>
    </row>
    <row x14ac:dyDescent="0.25" r="91" customHeight="1" ht="18.75">
      <c r="A91" s="67">
        <v>45763</v>
      </c>
      <c r="B91" s="147" t="s">
        <v>138</v>
      </c>
      <c r="C91" s="66">
        <f>VLOOKUP(B91,CONFIGURAÇÃO!H:I,2,FALSE)</f>
      </c>
      <c r="D91" s="150">
        <v>1</v>
      </c>
      <c r="E91" s="147" t="s">
        <v>78</v>
      </c>
      <c r="F91" s="96">
        <f>VLOOKUP(E91,PRECIFICAÇÃO!Q:R,2,0)</f>
      </c>
      <c r="G91" s="147" t="s">
        <v>73</v>
      </c>
      <c r="H91" s="96">
        <f>IF(G91="CORTESIA",0,D91*F91)</f>
      </c>
      <c r="I91" s="96">
        <f>VLOOKUP(E91,PRECIFICAÇÃO!Q:S,3,FALSE)*D91</f>
      </c>
      <c r="J91" s="96">
        <f>VLOOKUP(E91,PRECIFICAÇÃO!Q:U,4,FALSE)*D91</f>
      </c>
      <c r="K91" s="147" t="s">
        <v>22</v>
      </c>
      <c r="L91" s="151" t="s">
        <v>74</v>
      </c>
      <c r="M91" s="151"/>
    </row>
    <row x14ac:dyDescent="0.25" r="92" customHeight="1" ht="18.75">
      <c r="A92" s="67">
        <v>45764</v>
      </c>
      <c r="B92" s="147" t="s">
        <v>139</v>
      </c>
      <c r="C92" s="66">
        <f>VLOOKUP(B92,CONFIGURAÇÃO!H:I,2,FALSE)</f>
      </c>
      <c r="D92" s="150">
        <v>2</v>
      </c>
      <c r="E92" s="147" t="s">
        <v>140</v>
      </c>
      <c r="F92" s="96">
        <f>VLOOKUP(E92,PRECIFICAÇÃO!Q:R,2,0)</f>
      </c>
      <c r="G92" s="147" t="s">
        <v>73</v>
      </c>
      <c r="H92" s="96">
        <f>IF(G92="CORTESIA",0,D92*F92)</f>
      </c>
      <c r="I92" s="96">
        <f>VLOOKUP(E92,PRECIFICAÇÃO!Q:S,3,FALSE)*D92</f>
      </c>
      <c r="J92" s="96">
        <f>VLOOKUP(E92,PRECIFICAÇÃO!Q:U,4,FALSE)*D92</f>
      </c>
      <c r="K92" s="147" t="s">
        <v>22</v>
      </c>
      <c r="L92" s="151" t="s">
        <v>74</v>
      </c>
      <c r="M92" s="151"/>
    </row>
    <row x14ac:dyDescent="0.25" r="93" customHeight="1" ht="18.75">
      <c r="A93" s="67">
        <v>45764</v>
      </c>
      <c r="B93" s="147" t="s">
        <v>91</v>
      </c>
      <c r="C93" s="66">
        <f>VLOOKUP(B93,CONFIGURAÇÃO!H:I,2,FALSE)</f>
      </c>
      <c r="D93" s="150">
        <v>1</v>
      </c>
      <c r="E93" s="147" t="s">
        <v>72</v>
      </c>
      <c r="F93" s="96">
        <f>VLOOKUP(E93,PRECIFICAÇÃO!Q:R,2,0)</f>
      </c>
      <c r="G93" s="147" t="s">
        <v>73</v>
      </c>
      <c r="H93" s="96">
        <f>IF(G93="CORTESIA",0,D93*F93)</f>
      </c>
      <c r="I93" s="96">
        <f>VLOOKUP(E93,PRECIFICAÇÃO!Q:S,3,FALSE)*D93</f>
      </c>
      <c r="J93" s="96">
        <f>VLOOKUP(E93,PRECIFICAÇÃO!Q:U,4,FALSE)*D93</f>
      </c>
      <c r="K93" s="147" t="s">
        <v>22</v>
      </c>
      <c r="L93" s="151" t="s">
        <v>74</v>
      </c>
      <c r="M93" s="151"/>
    </row>
    <row x14ac:dyDescent="0.25" r="94" customHeight="1" ht="18.75">
      <c r="A94" s="67">
        <v>45764</v>
      </c>
      <c r="B94" s="147" t="s">
        <v>75</v>
      </c>
      <c r="C94" s="66">
        <f>VLOOKUP(B94,CONFIGURAÇÃO!H:I,2,FALSE)</f>
      </c>
      <c r="D94" s="150">
        <v>1</v>
      </c>
      <c r="E94" s="147" t="s">
        <v>72</v>
      </c>
      <c r="F94" s="96">
        <f>VLOOKUP(E94,PRECIFICAÇÃO!Q:R,2,0)</f>
      </c>
      <c r="G94" s="147" t="s">
        <v>73</v>
      </c>
      <c r="H94" s="96">
        <f>IF(G94="CORTESIA",0,D94*F94)</f>
      </c>
      <c r="I94" s="96">
        <f>VLOOKUP(E94,PRECIFICAÇÃO!Q:S,3,FALSE)*D94</f>
      </c>
      <c r="J94" s="96">
        <f>VLOOKUP(E94,PRECIFICAÇÃO!Q:U,4,FALSE)*D94</f>
      </c>
      <c r="K94" s="147" t="s">
        <v>22</v>
      </c>
      <c r="L94" s="151" t="s">
        <v>74</v>
      </c>
      <c r="M94" s="151"/>
    </row>
    <row x14ac:dyDescent="0.25" r="95" customHeight="1" ht="18.75">
      <c r="A95" s="67">
        <v>45764</v>
      </c>
      <c r="B95" s="147" t="s">
        <v>141</v>
      </c>
      <c r="C95" s="66">
        <f>VLOOKUP(B95,CONFIGURAÇÃO!H:I,2,FALSE)</f>
      </c>
      <c r="D95" s="150">
        <v>2</v>
      </c>
      <c r="E95" s="147" t="s">
        <v>84</v>
      </c>
      <c r="F95" s="96">
        <f>VLOOKUP(E95,PRECIFICAÇÃO!Q:R,2,0)</f>
      </c>
      <c r="G95" s="147" t="s">
        <v>73</v>
      </c>
      <c r="H95" s="96">
        <f>IF(G95="CORTESIA",0,D95*F95)</f>
      </c>
      <c r="I95" s="96">
        <f>VLOOKUP(E95,PRECIFICAÇÃO!Q:S,3,FALSE)*D95</f>
      </c>
      <c r="J95" s="96">
        <f>VLOOKUP(E95,PRECIFICAÇÃO!Q:U,4,FALSE)*D95</f>
      </c>
      <c r="K95" s="147" t="s">
        <v>22</v>
      </c>
      <c r="L95" s="151" t="s">
        <v>74</v>
      </c>
      <c r="M95" s="151"/>
    </row>
    <row x14ac:dyDescent="0.25" r="96" customHeight="1" ht="18.75">
      <c r="A96" s="67">
        <v>45764</v>
      </c>
      <c r="B96" s="147" t="s">
        <v>79</v>
      </c>
      <c r="C96" s="66">
        <f>VLOOKUP(B96,CONFIGURAÇÃO!H:I,2,FALSE)</f>
      </c>
      <c r="D96" s="150">
        <v>1</v>
      </c>
      <c r="E96" s="147" t="s">
        <v>76</v>
      </c>
      <c r="F96" s="96">
        <f>VLOOKUP(E96,PRECIFICAÇÃO!Q:R,2,0)</f>
      </c>
      <c r="G96" s="147" t="s">
        <v>73</v>
      </c>
      <c r="H96" s="96">
        <f>IF(G96="CORTESIA",0,D96*F96)</f>
      </c>
      <c r="I96" s="96">
        <f>VLOOKUP(E96,PRECIFICAÇÃO!Q:S,3,FALSE)*D96</f>
      </c>
      <c r="J96" s="96">
        <f>VLOOKUP(E96,PRECIFICAÇÃO!Q:U,4,FALSE)*D96</f>
      </c>
      <c r="K96" s="147" t="s">
        <v>22</v>
      </c>
      <c r="L96" s="151" t="s">
        <v>74</v>
      </c>
      <c r="M96" s="151"/>
    </row>
    <row x14ac:dyDescent="0.25" r="97" customHeight="1" ht="18.75">
      <c r="A97" s="67">
        <v>45764</v>
      </c>
      <c r="B97" s="147" t="s">
        <v>113</v>
      </c>
      <c r="C97" s="66">
        <f>VLOOKUP(B97,CONFIGURAÇÃO!H:I,2,FALSE)</f>
      </c>
      <c r="D97" s="150">
        <v>1</v>
      </c>
      <c r="E97" s="147" t="s">
        <v>76</v>
      </c>
      <c r="F97" s="96">
        <f>VLOOKUP(E97,PRECIFICAÇÃO!Q:R,2,0)</f>
      </c>
      <c r="G97" s="147" t="s">
        <v>73</v>
      </c>
      <c r="H97" s="96">
        <f>IF(G97="CORTESIA",0,D97*F97)</f>
      </c>
      <c r="I97" s="96">
        <f>VLOOKUP(E97,PRECIFICAÇÃO!Q:S,3,FALSE)*D97</f>
      </c>
      <c r="J97" s="96">
        <f>VLOOKUP(E97,PRECIFICAÇÃO!Q:U,4,FALSE)*D97</f>
      </c>
      <c r="K97" s="147" t="s">
        <v>22</v>
      </c>
      <c r="L97" s="151" t="s">
        <v>74</v>
      </c>
      <c r="M97" s="151"/>
    </row>
    <row x14ac:dyDescent="0.25" r="98" customHeight="1" ht="18.75">
      <c r="A98" s="67">
        <v>45764</v>
      </c>
      <c r="B98" s="147" t="s">
        <v>118</v>
      </c>
      <c r="C98" s="66">
        <f>VLOOKUP(B98,CONFIGURAÇÃO!H:I,2,FALSE)</f>
      </c>
      <c r="D98" s="150">
        <v>1</v>
      </c>
      <c r="E98" s="147" t="s">
        <v>76</v>
      </c>
      <c r="F98" s="96">
        <f>VLOOKUP(E98,PRECIFICAÇÃO!Q:R,2,0)</f>
      </c>
      <c r="G98" s="147" t="s">
        <v>73</v>
      </c>
      <c r="H98" s="96">
        <f>IF(G98="CORTESIA",0,D98*F98)</f>
      </c>
      <c r="I98" s="96">
        <f>VLOOKUP(E98,PRECIFICAÇÃO!Q:S,3,FALSE)*D98</f>
      </c>
      <c r="J98" s="96">
        <f>VLOOKUP(E98,PRECIFICAÇÃO!Q:U,4,FALSE)*D98</f>
      </c>
      <c r="K98" s="147" t="s">
        <v>22</v>
      </c>
      <c r="L98" s="151" t="s">
        <v>74</v>
      </c>
      <c r="M98" s="151"/>
    </row>
    <row x14ac:dyDescent="0.25" r="99" customHeight="1" ht="18.75">
      <c r="A99" s="67">
        <v>45764</v>
      </c>
      <c r="B99" s="147" t="s">
        <v>115</v>
      </c>
      <c r="C99" s="66">
        <f>VLOOKUP(B99,CONFIGURAÇÃO!H:I,2,FALSE)</f>
      </c>
      <c r="D99" s="150">
        <v>1</v>
      </c>
      <c r="E99" s="147" t="s">
        <v>76</v>
      </c>
      <c r="F99" s="96">
        <f>VLOOKUP(E99,PRECIFICAÇÃO!Q:R,2,0)</f>
      </c>
      <c r="G99" s="147" t="s">
        <v>73</v>
      </c>
      <c r="H99" s="96">
        <f>IF(G99="CORTESIA",0,D99*F99)</f>
      </c>
      <c r="I99" s="96">
        <f>VLOOKUP(E99,PRECIFICAÇÃO!Q:S,3,FALSE)*D99</f>
      </c>
      <c r="J99" s="96">
        <f>VLOOKUP(E99,PRECIFICAÇÃO!Q:U,4,FALSE)*D99</f>
      </c>
      <c r="K99" s="147" t="s">
        <v>22</v>
      </c>
      <c r="L99" s="151" t="s">
        <v>74</v>
      </c>
      <c r="M99" s="151"/>
    </row>
    <row x14ac:dyDescent="0.25" r="100" customHeight="1" ht="18.75">
      <c r="A100" s="67">
        <v>45764</v>
      </c>
      <c r="B100" s="147" t="s">
        <v>88</v>
      </c>
      <c r="C100" s="66">
        <f>VLOOKUP(B100,CONFIGURAÇÃO!H:I,2,FALSE)</f>
      </c>
      <c r="D100" s="150">
        <v>1</v>
      </c>
      <c r="E100" s="147" t="s">
        <v>76</v>
      </c>
      <c r="F100" s="96">
        <f>VLOOKUP(E100,PRECIFICAÇÃO!Q:R,2,0)</f>
      </c>
      <c r="G100" s="147" t="s">
        <v>73</v>
      </c>
      <c r="H100" s="96">
        <f>IF(G100="CORTESIA",0,D100*F100)</f>
      </c>
      <c r="I100" s="96">
        <f>VLOOKUP(E100,PRECIFICAÇÃO!Q:S,3,FALSE)*D100</f>
      </c>
      <c r="J100" s="96">
        <f>VLOOKUP(E100,PRECIFICAÇÃO!Q:U,4,FALSE)*D100</f>
      </c>
      <c r="K100" s="147" t="s">
        <v>22</v>
      </c>
      <c r="L100" s="151" t="s">
        <v>74</v>
      </c>
      <c r="M100" s="151"/>
    </row>
    <row x14ac:dyDescent="0.25" r="101" customHeight="1" ht="18.75">
      <c r="A101" s="67">
        <v>45764</v>
      </c>
      <c r="B101" s="147" t="s">
        <v>129</v>
      </c>
      <c r="C101" s="66">
        <f>VLOOKUP(B101,CONFIGURAÇÃO!H:I,2,FALSE)</f>
      </c>
      <c r="D101" s="150">
        <v>2</v>
      </c>
      <c r="E101" s="147" t="s">
        <v>72</v>
      </c>
      <c r="F101" s="96">
        <f>VLOOKUP(E101,PRECIFICAÇÃO!Q:R,2,0)</f>
      </c>
      <c r="G101" s="147" t="s">
        <v>73</v>
      </c>
      <c r="H101" s="96">
        <f>IF(G101="CORTESIA",0,D101*F101)</f>
      </c>
      <c r="I101" s="96">
        <f>VLOOKUP(E101,PRECIFICAÇÃO!Q:S,3,FALSE)*D101</f>
      </c>
      <c r="J101" s="96">
        <f>VLOOKUP(E101,PRECIFICAÇÃO!Q:U,4,FALSE)*D101</f>
      </c>
      <c r="K101" s="147" t="s">
        <v>22</v>
      </c>
      <c r="L101" s="151" t="s">
        <v>74</v>
      </c>
      <c r="M101" s="151"/>
    </row>
    <row x14ac:dyDescent="0.25" r="102" customHeight="1" ht="18.75">
      <c r="A102" s="67">
        <v>45764</v>
      </c>
      <c r="B102" s="147" t="s">
        <v>142</v>
      </c>
      <c r="C102" s="66">
        <f>VLOOKUP(B102,CONFIGURAÇÃO!H:I,2,FALSE)</f>
      </c>
      <c r="D102" s="150">
        <v>1</v>
      </c>
      <c r="E102" s="147" t="s">
        <v>72</v>
      </c>
      <c r="F102" s="96">
        <f>VLOOKUP(E102,PRECIFICAÇÃO!Q:R,2,0)</f>
      </c>
      <c r="G102" s="147" t="s">
        <v>73</v>
      </c>
      <c r="H102" s="96">
        <f>IF(G102="CORTESIA",0,D102*F102)</f>
      </c>
      <c r="I102" s="96">
        <f>VLOOKUP(E102,PRECIFICAÇÃO!Q:S,3,FALSE)*D102</f>
      </c>
      <c r="J102" s="96">
        <f>VLOOKUP(E102,PRECIFICAÇÃO!Q:U,4,FALSE)*D102</f>
      </c>
      <c r="K102" s="147" t="s">
        <v>22</v>
      </c>
      <c r="L102" s="151" t="s">
        <v>74</v>
      </c>
      <c r="M102" s="151"/>
    </row>
    <row x14ac:dyDescent="0.25" r="103" customHeight="1" ht="18.75">
      <c r="A103" s="67">
        <v>45764</v>
      </c>
      <c r="B103" s="147" t="s">
        <v>81</v>
      </c>
      <c r="C103" s="66">
        <f>VLOOKUP(B103,CONFIGURAÇÃO!H:I,2,FALSE)</f>
      </c>
      <c r="D103" s="150">
        <v>1</v>
      </c>
      <c r="E103" s="147" t="s">
        <v>72</v>
      </c>
      <c r="F103" s="96">
        <f>VLOOKUP(E103,PRECIFICAÇÃO!Q:R,2,0)</f>
      </c>
      <c r="G103" s="147" t="s">
        <v>73</v>
      </c>
      <c r="H103" s="96">
        <f>IF(G103="CORTESIA",0,D103*F103)</f>
      </c>
      <c r="I103" s="96">
        <f>VLOOKUP(E103,PRECIFICAÇÃO!Q:S,3,FALSE)*D103</f>
      </c>
      <c r="J103" s="96">
        <f>VLOOKUP(E103,PRECIFICAÇÃO!Q:U,4,FALSE)*D103</f>
      </c>
      <c r="K103" s="147" t="s">
        <v>22</v>
      </c>
      <c r="L103" s="151" t="s">
        <v>74</v>
      </c>
      <c r="M103" s="151"/>
    </row>
    <row x14ac:dyDescent="0.25" r="104" customHeight="1" ht="18.75">
      <c r="A104" s="67">
        <v>45764</v>
      </c>
      <c r="B104" s="147" t="s">
        <v>102</v>
      </c>
      <c r="C104" s="66">
        <f>VLOOKUP(B104,CONFIGURAÇÃO!H:I,2,FALSE)</f>
      </c>
      <c r="D104" s="150">
        <v>1</v>
      </c>
      <c r="E104" s="147" t="s">
        <v>72</v>
      </c>
      <c r="F104" s="96">
        <f>VLOOKUP(E104,PRECIFICAÇÃO!Q:R,2,0)</f>
      </c>
      <c r="G104" s="147" t="s">
        <v>73</v>
      </c>
      <c r="H104" s="96">
        <f>IF(G104="CORTESIA",0,D104*F104)</f>
      </c>
      <c r="I104" s="96">
        <f>VLOOKUP(E104,PRECIFICAÇÃO!Q:S,3,FALSE)*D104</f>
      </c>
      <c r="J104" s="96">
        <f>VLOOKUP(E104,PRECIFICAÇÃO!Q:U,4,FALSE)*D104</f>
      </c>
      <c r="K104" s="147" t="s">
        <v>22</v>
      </c>
      <c r="L104" s="151" t="s">
        <v>74</v>
      </c>
      <c r="M104" s="151"/>
    </row>
    <row x14ac:dyDescent="0.25" r="105" customHeight="1" ht="18.75">
      <c r="A105" s="67">
        <v>45764</v>
      </c>
      <c r="B105" s="147" t="s">
        <v>143</v>
      </c>
      <c r="C105" s="66">
        <f>VLOOKUP(B105,CONFIGURAÇÃO!H:I,2,FALSE)</f>
      </c>
      <c r="D105" s="150">
        <v>1</v>
      </c>
      <c r="E105" s="147" t="s">
        <v>72</v>
      </c>
      <c r="F105" s="96">
        <f>VLOOKUP(E105,PRECIFICAÇÃO!Q:R,2,0)</f>
      </c>
      <c r="G105" s="147" t="s">
        <v>73</v>
      </c>
      <c r="H105" s="96">
        <f>IF(G105="CORTESIA",0,D105*F105)</f>
      </c>
      <c r="I105" s="96">
        <f>VLOOKUP(E105,PRECIFICAÇÃO!Q:S,3,FALSE)*D105</f>
      </c>
      <c r="J105" s="96">
        <f>VLOOKUP(E105,PRECIFICAÇÃO!Q:U,4,FALSE)*D105</f>
      </c>
      <c r="K105" s="147" t="s">
        <v>22</v>
      </c>
      <c r="L105" s="151" t="s">
        <v>74</v>
      </c>
      <c r="M105" s="151"/>
    </row>
    <row x14ac:dyDescent="0.25" r="106" customHeight="1" ht="18.75">
      <c r="A106" s="67">
        <v>45764</v>
      </c>
      <c r="B106" s="147" t="s">
        <v>114</v>
      </c>
      <c r="C106" s="66">
        <f>VLOOKUP(B106,CONFIGURAÇÃO!H:I,2,FALSE)</f>
      </c>
      <c r="D106" s="150">
        <v>1</v>
      </c>
      <c r="E106" s="147" t="s">
        <v>72</v>
      </c>
      <c r="F106" s="96">
        <f>VLOOKUP(E106,PRECIFICAÇÃO!Q:R,2,0)</f>
      </c>
      <c r="G106" s="147" t="s">
        <v>73</v>
      </c>
      <c r="H106" s="96">
        <f>IF(G106="CORTESIA",0,D106*F106)</f>
      </c>
      <c r="I106" s="96">
        <f>VLOOKUP(E106,PRECIFICAÇÃO!Q:S,3,FALSE)*D106</f>
      </c>
      <c r="J106" s="96">
        <f>VLOOKUP(E106,PRECIFICAÇÃO!Q:U,4,FALSE)*D106</f>
      </c>
      <c r="K106" s="147" t="s">
        <v>22</v>
      </c>
      <c r="L106" s="151" t="s">
        <v>74</v>
      </c>
      <c r="M106" s="151"/>
    </row>
    <row x14ac:dyDescent="0.25" r="107" customHeight="1" ht="18.75">
      <c r="A107" s="67">
        <v>45764</v>
      </c>
      <c r="B107" s="147" t="s">
        <v>144</v>
      </c>
      <c r="C107" s="66">
        <f>VLOOKUP(B107,CONFIGURAÇÃO!H:I,2,FALSE)</f>
      </c>
      <c r="D107" s="150">
        <v>1</v>
      </c>
      <c r="E107" s="147" t="s">
        <v>76</v>
      </c>
      <c r="F107" s="96">
        <f>VLOOKUP(E107,PRECIFICAÇÃO!Q:R,2,0)</f>
      </c>
      <c r="G107" s="147" t="s">
        <v>73</v>
      </c>
      <c r="H107" s="96">
        <f>IF(G107="CORTESIA",0,D107*F107)</f>
      </c>
      <c r="I107" s="96">
        <f>VLOOKUP(E107,PRECIFICAÇÃO!Q:S,3,FALSE)*D107</f>
      </c>
      <c r="J107" s="96">
        <f>VLOOKUP(E107,PRECIFICAÇÃO!Q:U,4,FALSE)*D107</f>
      </c>
      <c r="K107" s="147" t="s">
        <v>22</v>
      </c>
      <c r="L107" s="151" t="s">
        <v>74</v>
      </c>
      <c r="M107" s="151"/>
    </row>
    <row x14ac:dyDescent="0.25" r="108" customHeight="1" ht="18.75">
      <c r="A108" s="67">
        <v>45764</v>
      </c>
      <c r="B108" s="147" t="s">
        <v>101</v>
      </c>
      <c r="C108" s="66">
        <f>VLOOKUP(B108,CONFIGURAÇÃO!H:I,2,FALSE)</f>
      </c>
      <c r="D108" s="150">
        <v>1</v>
      </c>
      <c r="E108" s="147" t="s">
        <v>76</v>
      </c>
      <c r="F108" s="96">
        <f>VLOOKUP(E108,PRECIFICAÇÃO!Q:R,2,0)</f>
      </c>
      <c r="G108" s="147" t="s">
        <v>73</v>
      </c>
      <c r="H108" s="96">
        <f>IF(G108="CORTESIA",0,D108*F108)</f>
      </c>
      <c r="I108" s="96">
        <f>VLOOKUP(E108,PRECIFICAÇÃO!Q:S,3,FALSE)*D108</f>
      </c>
      <c r="J108" s="96">
        <f>VLOOKUP(E108,PRECIFICAÇÃO!Q:U,4,FALSE)*D108</f>
      </c>
      <c r="K108" s="147" t="s">
        <v>22</v>
      </c>
      <c r="L108" s="151" t="s">
        <v>74</v>
      </c>
      <c r="M108" s="151"/>
    </row>
    <row x14ac:dyDescent="0.25" r="109" customHeight="1" ht="18.75">
      <c r="A109" s="67">
        <v>45764</v>
      </c>
      <c r="B109" s="147" t="s">
        <v>101</v>
      </c>
      <c r="C109" s="66">
        <f>VLOOKUP(B109,CONFIGURAÇÃO!H:I,2,FALSE)</f>
      </c>
      <c r="D109" s="150">
        <v>1</v>
      </c>
      <c r="E109" s="147" t="s">
        <v>72</v>
      </c>
      <c r="F109" s="96">
        <f>VLOOKUP(E109,PRECIFICAÇÃO!Q:R,2,0)</f>
      </c>
      <c r="G109" s="147" t="s">
        <v>73</v>
      </c>
      <c r="H109" s="96">
        <f>IF(G109="CORTESIA",0,D109*F109)</f>
      </c>
      <c r="I109" s="96">
        <f>VLOOKUP(E109,PRECIFICAÇÃO!Q:S,3,FALSE)*D109</f>
      </c>
      <c r="J109" s="96">
        <f>VLOOKUP(E109,PRECIFICAÇÃO!Q:U,4,FALSE)*D109</f>
      </c>
      <c r="K109" s="147" t="s">
        <v>22</v>
      </c>
      <c r="L109" s="151" t="s">
        <v>74</v>
      </c>
      <c r="M109" s="151"/>
    </row>
    <row x14ac:dyDescent="0.25" r="110" customHeight="1" ht="18.75">
      <c r="A110" s="67">
        <v>45764</v>
      </c>
      <c r="B110" s="147" t="s">
        <v>135</v>
      </c>
      <c r="C110" s="66">
        <f>VLOOKUP(B110,CONFIGURAÇÃO!H:I,2,FALSE)</f>
      </c>
      <c r="D110" s="150">
        <v>1</v>
      </c>
      <c r="E110" s="147" t="s">
        <v>72</v>
      </c>
      <c r="F110" s="96">
        <f>VLOOKUP(E110,PRECIFICAÇÃO!Q:R,2,0)</f>
      </c>
      <c r="G110" s="147" t="s">
        <v>73</v>
      </c>
      <c r="H110" s="96">
        <f>IF(G110="CORTESIA",0,D110*F110)</f>
      </c>
      <c r="I110" s="96">
        <f>VLOOKUP(E110,PRECIFICAÇÃO!Q:S,3,FALSE)*D110</f>
      </c>
      <c r="J110" s="96">
        <f>VLOOKUP(E110,PRECIFICAÇÃO!Q:U,4,FALSE)*D110</f>
      </c>
      <c r="K110" s="147" t="s">
        <v>22</v>
      </c>
      <c r="L110" s="151" t="s">
        <v>74</v>
      </c>
      <c r="M110" s="151"/>
    </row>
    <row x14ac:dyDescent="0.25" r="111" customHeight="1" ht="18.75">
      <c r="A111" s="67">
        <v>45764</v>
      </c>
      <c r="B111" s="147" t="s">
        <v>145</v>
      </c>
      <c r="C111" s="66">
        <f>VLOOKUP(B111,CONFIGURAÇÃO!H:I,2,FALSE)</f>
      </c>
      <c r="D111" s="150">
        <v>1</v>
      </c>
      <c r="E111" s="147" t="s">
        <v>72</v>
      </c>
      <c r="F111" s="96">
        <f>VLOOKUP(E111,PRECIFICAÇÃO!Q:R,2,0)</f>
      </c>
      <c r="G111" s="147" t="s">
        <v>73</v>
      </c>
      <c r="H111" s="96">
        <f>IF(G111="CORTESIA",0,D111*F111)</f>
      </c>
      <c r="I111" s="96">
        <f>VLOOKUP(E111,PRECIFICAÇÃO!Q:S,3,FALSE)*D111</f>
      </c>
      <c r="J111" s="96">
        <f>VLOOKUP(E111,PRECIFICAÇÃO!Q:U,4,FALSE)*D111</f>
      </c>
      <c r="K111" s="147" t="s">
        <v>22</v>
      </c>
      <c r="L111" s="151" t="s">
        <v>74</v>
      </c>
      <c r="M111" s="151"/>
    </row>
    <row x14ac:dyDescent="0.25" r="112" customHeight="1" ht="18.75">
      <c r="A112" s="67">
        <v>45764</v>
      </c>
      <c r="B112" s="147" t="s">
        <v>146</v>
      </c>
      <c r="C112" s="66">
        <f>VLOOKUP(B112,CONFIGURAÇÃO!H:I,2,FALSE)</f>
      </c>
      <c r="D112" s="150">
        <v>2</v>
      </c>
      <c r="E112" s="147" t="s">
        <v>72</v>
      </c>
      <c r="F112" s="96">
        <f>VLOOKUP(E112,PRECIFICAÇÃO!Q:R,2,0)</f>
      </c>
      <c r="G112" s="147" t="s">
        <v>13</v>
      </c>
      <c r="H112" s="96">
        <f>IF(G112="CORTESIA",0,D112*F112)</f>
      </c>
      <c r="I112" s="96">
        <f>VLOOKUP(E112,PRECIFICAÇÃO!Q:S,3,FALSE)*D112</f>
      </c>
      <c r="J112" s="96">
        <f>VLOOKUP(E112,PRECIFICAÇÃO!Q:U,4,FALSE)*D112</f>
      </c>
      <c r="K112" s="147" t="s">
        <v>22</v>
      </c>
      <c r="L112" s="151" t="s">
        <v>74</v>
      </c>
      <c r="M112" s="151"/>
    </row>
    <row x14ac:dyDescent="0.25" r="113" customHeight="1" ht="18.75">
      <c r="A113" s="67">
        <v>45764</v>
      </c>
      <c r="B113" s="147" t="s">
        <v>122</v>
      </c>
      <c r="C113" s="66">
        <f>VLOOKUP(B113,CONFIGURAÇÃO!H:I,2,FALSE)</f>
      </c>
      <c r="D113" s="150">
        <v>1</v>
      </c>
      <c r="E113" s="147" t="s">
        <v>72</v>
      </c>
      <c r="F113" s="96">
        <f>VLOOKUP(E113,PRECIFICAÇÃO!Q:R,2,0)</f>
      </c>
      <c r="G113" s="147" t="s">
        <v>73</v>
      </c>
      <c r="H113" s="96">
        <f>IF(G113="CORTESIA",0,D113*F113)</f>
      </c>
      <c r="I113" s="96">
        <f>VLOOKUP(E113,PRECIFICAÇÃO!Q:S,3,FALSE)*D113</f>
      </c>
      <c r="J113" s="96">
        <f>VLOOKUP(E113,PRECIFICAÇÃO!Q:U,4,FALSE)*D113</f>
      </c>
      <c r="K113" s="147" t="s">
        <v>22</v>
      </c>
      <c r="L113" s="151" t="s">
        <v>74</v>
      </c>
      <c r="M113" s="151"/>
    </row>
    <row x14ac:dyDescent="0.25" r="114" customHeight="1" ht="18.75">
      <c r="A114" s="67">
        <v>45764</v>
      </c>
      <c r="B114" s="147" t="s">
        <v>120</v>
      </c>
      <c r="C114" s="66">
        <f>VLOOKUP(B114,CONFIGURAÇÃO!H:I,2,FALSE)</f>
      </c>
      <c r="D114" s="150">
        <v>1</v>
      </c>
      <c r="E114" s="147" t="s">
        <v>72</v>
      </c>
      <c r="F114" s="96">
        <f>VLOOKUP(E114,PRECIFICAÇÃO!Q:R,2,0)</f>
      </c>
      <c r="G114" s="147" t="s">
        <v>73</v>
      </c>
      <c r="H114" s="96">
        <f>IF(G114="CORTESIA",0,D114*F114)</f>
      </c>
      <c r="I114" s="96">
        <f>VLOOKUP(E114,PRECIFICAÇÃO!Q:S,3,FALSE)*D114</f>
      </c>
      <c r="J114" s="96">
        <f>VLOOKUP(E114,PRECIFICAÇÃO!Q:U,4,FALSE)*D114</f>
      </c>
      <c r="K114" s="147" t="s">
        <v>22</v>
      </c>
      <c r="L114" s="151" t="s">
        <v>74</v>
      </c>
      <c r="M114" s="151"/>
    </row>
    <row x14ac:dyDescent="0.25" r="115" customHeight="1" ht="18.75">
      <c r="A115" s="67">
        <v>45764</v>
      </c>
      <c r="B115" s="147" t="s">
        <v>147</v>
      </c>
      <c r="C115" s="66">
        <f>VLOOKUP(B115,CONFIGURAÇÃO!H:I,2,FALSE)</f>
      </c>
      <c r="D115" s="150">
        <v>1</v>
      </c>
      <c r="E115" s="147" t="s">
        <v>76</v>
      </c>
      <c r="F115" s="96">
        <f>VLOOKUP(E115,PRECIFICAÇÃO!Q:R,2,0)</f>
      </c>
      <c r="G115" s="147" t="s">
        <v>73</v>
      </c>
      <c r="H115" s="96">
        <f>IF(G115="CORTESIA",0,D115*F115)</f>
      </c>
      <c r="I115" s="96">
        <f>VLOOKUP(E115,PRECIFICAÇÃO!Q:S,3,FALSE)*D115</f>
      </c>
      <c r="J115" s="96">
        <f>VLOOKUP(E115,PRECIFICAÇÃO!Q:U,4,FALSE)*D115</f>
      </c>
      <c r="K115" s="147" t="s">
        <v>22</v>
      </c>
      <c r="L115" s="151" t="s">
        <v>74</v>
      </c>
      <c r="M115" s="151"/>
    </row>
    <row x14ac:dyDescent="0.25" r="116" customHeight="1" ht="18.75">
      <c r="A116" s="67">
        <v>45764</v>
      </c>
      <c r="B116" s="147" t="s">
        <v>147</v>
      </c>
      <c r="C116" s="66">
        <f>VLOOKUP(B116,CONFIGURAÇÃO!H:I,2,FALSE)</f>
      </c>
      <c r="D116" s="150">
        <v>1</v>
      </c>
      <c r="E116" s="147" t="s">
        <v>72</v>
      </c>
      <c r="F116" s="96">
        <f>VLOOKUP(E116,PRECIFICAÇÃO!Q:R,2,0)</f>
      </c>
      <c r="G116" s="147" t="s">
        <v>73</v>
      </c>
      <c r="H116" s="96">
        <f>IF(G116="CORTESIA",0,D116*F116)</f>
      </c>
      <c r="I116" s="96">
        <f>VLOOKUP(E116,PRECIFICAÇÃO!Q:S,3,FALSE)*D116</f>
      </c>
      <c r="J116" s="96">
        <f>VLOOKUP(E116,PRECIFICAÇÃO!Q:U,4,FALSE)*D116</f>
      </c>
      <c r="K116" s="147" t="s">
        <v>22</v>
      </c>
      <c r="L116" s="151" t="s">
        <v>74</v>
      </c>
      <c r="M116" s="151"/>
    </row>
    <row x14ac:dyDescent="0.25" r="117" customHeight="1" ht="18.75">
      <c r="A117" s="67">
        <v>45764</v>
      </c>
      <c r="B117" s="147" t="s">
        <v>148</v>
      </c>
      <c r="C117" s="66">
        <f>VLOOKUP(B117,CONFIGURAÇÃO!H:I,2,FALSE)</f>
      </c>
      <c r="D117" s="150">
        <v>1</v>
      </c>
      <c r="E117" s="147" t="s">
        <v>76</v>
      </c>
      <c r="F117" s="96">
        <f>VLOOKUP(E117,PRECIFICAÇÃO!Q:R,2,0)</f>
      </c>
      <c r="G117" s="147" t="s">
        <v>73</v>
      </c>
      <c r="H117" s="96">
        <f>IF(G117="CORTESIA",0,D117*F117)</f>
      </c>
      <c r="I117" s="96">
        <f>VLOOKUP(E117,PRECIFICAÇÃO!Q:S,3,FALSE)*D117</f>
      </c>
      <c r="J117" s="96">
        <f>VLOOKUP(E117,PRECIFICAÇÃO!Q:U,4,FALSE)*D117</f>
      </c>
      <c r="K117" s="147" t="s">
        <v>22</v>
      </c>
      <c r="L117" s="151" t="s">
        <v>74</v>
      </c>
      <c r="M117" s="151"/>
    </row>
    <row x14ac:dyDescent="0.25" r="118" customHeight="1" ht="18.75">
      <c r="A118" s="67">
        <v>45764</v>
      </c>
      <c r="B118" s="147" t="s">
        <v>148</v>
      </c>
      <c r="C118" s="66">
        <f>VLOOKUP(B118,CONFIGURAÇÃO!H:I,2,FALSE)</f>
      </c>
      <c r="D118" s="150">
        <v>1</v>
      </c>
      <c r="E118" s="147" t="s">
        <v>72</v>
      </c>
      <c r="F118" s="96">
        <f>VLOOKUP(E118,PRECIFICAÇÃO!Q:R,2,0)</f>
      </c>
      <c r="G118" s="147" t="s">
        <v>73</v>
      </c>
      <c r="H118" s="96">
        <f>IF(G118="CORTESIA",0,D118*F118)</f>
      </c>
      <c r="I118" s="96">
        <f>VLOOKUP(E118,PRECIFICAÇÃO!Q:S,3,FALSE)*D118</f>
      </c>
      <c r="J118" s="96">
        <f>VLOOKUP(E118,PRECIFICAÇÃO!Q:U,4,FALSE)*D118</f>
      </c>
      <c r="K118" s="147" t="s">
        <v>22</v>
      </c>
      <c r="L118" s="151" t="s">
        <v>74</v>
      </c>
      <c r="M118" s="151"/>
    </row>
    <row x14ac:dyDescent="0.25" r="119" customHeight="1" ht="18.75">
      <c r="A119" s="67">
        <v>45764</v>
      </c>
      <c r="B119" s="147" t="s">
        <v>103</v>
      </c>
      <c r="C119" s="66">
        <f>VLOOKUP(B119,CONFIGURAÇÃO!H:I,2,FALSE)</f>
      </c>
      <c r="D119" s="150">
        <v>1</v>
      </c>
      <c r="E119" s="147" t="s">
        <v>72</v>
      </c>
      <c r="F119" s="96">
        <f>VLOOKUP(E119,PRECIFICAÇÃO!Q:R,2,0)</f>
      </c>
      <c r="G119" s="147" t="s">
        <v>73</v>
      </c>
      <c r="H119" s="96">
        <f>IF(G119="CORTESIA",0,D119*F119)</f>
      </c>
      <c r="I119" s="96">
        <f>VLOOKUP(E119,PRECIFICAÇÃO!Q:S,3,FALSE)*D119</f>
      </c>
      <c r="J119" s="96">
        <f>VLOOKUP(E119,PRECIFICAÇÃO!Q:U,4,FALSE)*D119</f>
      </c>
      <c r="K119" s="147" t="s">
        <v>22</v>
      </c>
      <c r="L119" s="151" t="s">
        <v>74</v>
      </c>
      <c r="M119" s="151"/>
    </row>
    <row x14ac:dyDescent="0.25" r="120" customHeight="1" ht="18.75">
      <c r="A120" s="67">
        <v>45764</v>
      </c>
      <c r="B120" s="147" t="s">
        <v>149</v>
      </c>
      <c r="C120" s="66">
        <f>VLOOKUP(B120,CONFIGURAÇÃO!H:I,2,FALSE)</f>
      </c>
      <c r="D120" s="150">
        <v>1</v>
      </c>
      <c r="E120" s="147" t="s">
        <v>72</v>
      </c>
      <c r="F120" s="96">
        <f>VLOOKUP(E120,PRECIFICAÇÃO!Q:R,2,0)</f>
      </c>
      <c r="G120" s="147" t="s">
        <v>13</v>
      </c>
      <c r="H120" s="96">
        <f>IF(G120="CORTESIA",0,D120*F120)</f>
      </c>
      <c r="I120" s="96">
        <f>VLOOKUP(E120,PRECIFICAÇÃO!Q:S,3,FALSE)*D120</f>
      </c>
      <c r="J120" s="96">
        <f>VLOOKUP(E120,PRECIFICAÇÃO!Q:U,4,FALSE)*D120</f>
      </c>
      <c r="K120" s="147" t="s">
        <v>22</v>
      </c>
      <c r="L120" s="151" t="s">
        <v>74</v>
      </c>
      <c r="M120" s="151"/>
    </row>
    <row x14ac:dyDescent="0.25" r="121" customHeight="1" ht="18.75">
      <c r="A121" s="67">
        <v>45764</v>
      </c>
      <c r="B121" s="147" t="s">
        <v>150</v>
      </c>
      <c r="C121" s="66">
        <f>VLOOKUP(B121,CONFIGURAÇÃO!H:I,2,FALSE)</f>
      </c>
      <c r="D121" s="150">
        <v>1</v>
      </c>
      <c r="E121" s="147" t="s">
        <v>72</v>
      </c>
      <c r="F121" s="96">
        <f>VLOOKUP(E121,PRECIFICAÇÃO!Q:R,2,0)</f>
      </c>
      <c r="G121" s="147" t="s">
        <v>73</v>
      </c>
      <c r="H121" s="96">
        <f>IF(G121="CORTESIA",0,D121*F121)</f>
      </c>
      <c r="I121" s="96">
        <f>VLOOKUP(E121,PRECIFICAÇÃO!Q:S,3,FALSE)*D121</f>
      </c>
      <c r="J121" s="96">
        <f>VLOOKUP(E121,PRECIFICAÇÃO!Q:U,4,FALSE)*D121</f>
      </c>
      <c r="K121" s="147" t="s">
        <v>22</v>
      </c>
      <c r="L121" s="151" t="s">
        <v>74</v>
      </c>
      <c r="M121" s="151"/>
    </row>
    <row x14ac:dyDescent="0.25" r="122" customHeight="1" ht="18.75">
      <c r="A122" s="67">
        <v>45765</v>
      </c>
      <c r="B122" s="147" t="s">
        <v>139</v>
      </c>
      <c r="C122" s="66">
        <f>VLOOKUP(B122,CONFIGURAÇÃO!H:I,2,FALSE)</f>
      </c>
      <c r="D122" s="150">
        <v>2</v>
      </c>
      <c r="E122" s="147" t="s">
        <v>151</v>
      </c>
      <c r="F122" s="96">
        <f>VLOOKUP(E122,PRECIFICAÇÃO!Q:R,2,0)</f>
      </c>
      <c r="G122" s="147" t="s">
        <v>73</v>
      </c>
      <c r="H122" s="96">
        <f>IF(G122="CORTESIA",0,D122*F122)</f>
      </c>
      <c r="I122" s="96">
        <f>VLOOKUP(E122,PRECIFICAÇÃO!Q:S,3,FALSE)*D122</f>
      </c>
      <c r="J122" s="96">
        <f>VLOOKUP(E122,PRECIFICAÇÃO!Q:U,4,FALSE)*D122</f>
      </c>
      <c r="K122" s="147" t="s">
        <v>22</v>
      </c>
      <c r="L122" s="151" t="s">
        <v>74</v>
      </c>
      <c r="M122" s="151"/>
    </row>
    <row x14ac:dyDescent="0.25" r="123" customHeight="1" ht="18.75">
      <c r="A123" s="67">
        <v>45765</v>
      </c>
      <c r="B123" s="147" t="s">
        <v>139</v>
      </c>
      <c r="C123" s="66">
        <f>VLOOKUP(B123,CONFIGURAÇÃO!H:I,2,FALSE)</f>
      </c>
      <c r="D123" s="150">
        <v>1</v>
      </c>
      <c r="E123" s="147" t="s">
        <v>152</v>
      </c>
      <c r="F123" s="96">
        <f>VLOOKUP(E123,PRECIFICAÇÃO!Q:R,2,0)</f>
      </c>
      <c r="G123" s="147" t="s">
        <v>73</v>
      </c>
      <c r="H123" s="96">
        <f>IF(G123="CORTESIA",0,D123*F123)</f>
      </c>
      <c r="I123" s="96">
        <f>VLOOKUP(E123,PRECIFICAÇÃO!Q:S,3,FALSE)*D123</f>
      </c>
      <c r="J123" s="96">
        <f>VLOOKUP(E123,PRECIFICAÇÃO!Q:U,4,FALSE)*D123</f>
      </c>
      <c r="K123" s="147" t="s">
        <v>22</v>
      </c>
      <c r="L123" s="151" t="s">
        <v>74</v>
      </c>
      <c r="M123" s="151"/>
    </row>
    <row x14ac:dyDescent="0.25" r="124" customHeight="1" ht="18.75">
      <c r="A124" s="67">
        <v>45765</v>
      </c>
      <c r="B124" s="147" t="s">
        <v>83</v>
      </c>
      <c r="C124" s="66">
        <f>VLOOKUP(B124,CONFIGURAÇÃO!H:I,2,FALSE)</f>
      </c>
      <c r="D124" s="150">
        <v>1</v>
      </c>
      <c r="E124" s="147" t="s">
        <v>153</v>
      </c>
      <c r="F124" s="96">
        <f>VLOOKUP(E124,PRECIFICAÇÃO!Q:R,2,0)</f>
      </c>
      <c r="G124" s="147" t="s">
        <v>73</v>
      </c>
      <c r="H124" s="96">
        <f>IF(G124="CORTESIA",0,D124*F124)</f>
      </c>
      <c r="I124" s="96">
        <f>VLOOKUP(E124,PRECIFICAÇÃO!Q:S,3,FALSE)*D124</f>
      </c>
      <c r="J124" s="96">
        <f>VLOOKUP(E124,PRECIFICAÇÃO!Q:U,4,FALSE)*D124</f>
      </c>
      <c r="K124" s="147" t="s">
        <v>22</v>
      </c>
      <c r="L124" s="151" t="s">
        <v>74</v>
      </c>
      <c r="M124" s="151"/>
    </row>
    <row x14ac:dyDescent="0.25" r="125" customHeight="1" ht="18.75">
      <c r="A125" s="67">
        <v>45765</v>
      </c>
      <c r="B125" s="147" t="s">
        <v>148</v>
      </c>
      <c r="C125" s="66">
        <f>VLOOKUP(B125,CONFIGURAÇÃO!H:I,2,FALSE)</f>
      </c>
      <c r="D125" s="150">
        <v>1</v>
      </c>
      <c r="E125" s="147" t="s">
        <v>154</v>
      </c>
      <c r="F125" s="96">
        <f>VLOOKUP(E125,PRECIFICAÇÃO!Q:R,2,0)</f>
      </c>
      <c r="G125" s="147" t="s">
        <v>73</v>
      </c>
      <c r="H125" s="96">
        <f>IF(G125="CORTESIA",0,D125*F125)</f>
      </c>
      <c r="I125" s="96">
        <f>VLOOKUP(E125,PRECIFICAÇÃO!Q:S,3,FALSE)*D125</f>
      </c>
      <c r="J125" s="96">
        <f>VLOOKUP(E125,PRECIFICAÇÃO!Q:U,4,FALSE)*D125</f>
      </c>
      <c r="K125" s="147" t="s">
        <v>22</v>
      </c>
      <c r="L125" s="151" t="s">
        <v>74</v>
      </c>
      <c r="M125" s="151"/>
    </row>
    <row x14ac:dyDescent="0.25" r="126" customHeight="1" ht="18.75">
      <c r="A126" s="67">
        <v>45766</v>
      </c>
      <c r="B126" s="147" t="s">
        <v>96</v>
      </c>
      <c r="C126" s="66">
        <f>VLOOKUP(B126,CONFIGURAÇÃO!H:I,2,FALSE)</f>
      </c>
      <c r="D126" s="150">
        <v>1</v>
      </c>
      <c r="E126" s="147" t="s">
        <v>155</v>
      </c>
      <c r="F126" s="96">
        <f>VLOOKUP(E126,PRECIFICAÇÃO!Q:R,2,0)</f>
      </c>
      <c r="G126" s="147" t="s">
        <v>73</v>
      </c>
      <c r="H126" s="96">
        <f>IF(G126="CORTESIA",0,D126*F126)</f>
      </c>
      <c r="I126" s="96">
        <f>VLOOKUP(E126,PRECIFICAÇÃO!Q:S,3,FALSE)*D126</f>
      </c>
      <c r="J126" s="96">
        <f>VLOOKUP(E126,PRECIFICAÇÃO!Q:U,4,FALSE)*D126</f>
      </c>
      <c r="K126" s="147" t="s">
        <v>22</v>
      </c>
      <c r="L126" s="151" t="s">
        <v>74</v>
      </c>
      <c r="M126" s="151"/>
    </row>
    <row x14ac:dyDescent="0.25" r="127" customHeight="1" ht="18.75">
      <c r="A127" s="67">
        <v>45766</v>
      </c>
      <c r="B127" s="147" t="s">
        <v>96</v>
      </c>
      <c r="C127" s="66">
        <f>VLOOKUP(B127,CONFIGURAÇÃO!H:I,2,FALSE)</f>
      </c>
      <c r="D127" s="150">
        <v>1</v>
      </c>
      <c r="E127" s="147" t="s">
        <v>156</v>
      </c>
      <c r="F127" s="96">
        <f>VLOOKUP(E127,PRECIFICAÇÃO!Q:R,2,0)</f>
      </c>
      <c r="G127" s="147" t="s">
        <v>73</v>
      </c>
      <c r="H127" s="96">
        <f>IF(G127="CORTESIA",0,D127*F127)</f>
      </c>
      <c r="I127" s="96">
        <f>VLOOKUP(E127,PRECIFICAÇÃO!Q:S,3,FALSE)*D127</f>
      </c>
      <c r="J127" s="96">
        <f>VLOOKUP(E127,PRECIFICAÇÃO!Q:U,4,FALSE)*D127</f>
      </c>
      <c r="K127" s="147" t="s">
        <v>22</v>
      </c>
      <c r="L127" s="151" t="s">
        <v>74</v>
      </c>
      <c r="M127" s="151"/>
    </row>
    <row x14ac:dyDescent="0.25" r="128" customHeight="1" ht="18.75">
      <c r="A128" s="67">
        <v>45769</v>
      </c>
      <c r="B128" s="147" t="s">
        <v>102</v>
      </c>
      <c r="C128" s="66">
        <f>VLOOKUP(B128,CONFIGURAÇÃO!H:I,2,FALSE)</f>
      </c>
      <c r="D128" s="150">
        <v>1</v>
      </c>
      <c r="E128" s="147" t="s">
        <v>157</v>
      </c>
      <c r="F128" s="96">
        <f>VLOOKUP(E128,PRECIFICAÇÃO!Q:R,2,0)</f>
      </c>
      <c r="G128" s="147" t="s">
        <v>73</v>
      </c>
      <c r="H128" s="96">
        <f>IF(G128="CORTESIA",0,D128*F128)</f>
      </c>
      <c r="I128" s="96">
        <f>VLOOKUP(E128,PRECIFICAÇÃO!Q:S,3,FALSE)*D128</f>
      </c>
      <c r="J128" s="96">
        <f>VLOOKUP(E128,PRECIFICAÇÃO!Q:U,4,FALSE)*D128</f>
      </c>
      <c r="K128" s="147" t="s">
        <v>22</v>
      </c>
      <c r="L128" s="151" t="s">
        <v>74</v>
      </c>
      <c r="M128" s="151"/>
    </row>
    <row x14ac:dyDescent="0.25" r="129" customHeight="1" ht="18.75">
      <c r="A129" s="67">
        <v>45769</v>
      </c>
      <c r="B129" s="147" t="s">
        <v>158</v>
      </c>
      <c r="C129" s="66">
        <f>VLOOKUP(B129,CONFIGURAÇÃO!H:I,2,FALSE)</f>
      </c>
      <c r="D129" s="150">
        <v>1</v>
      </c>
      <c r="E129" s="147" t="s">
        <v>153</v>
      </c>
      <c r="F129" s="96">
        <f>VLOOKUP(E129,PRECIFICAÇÃO!Q:R,2,0)</f>
      </c>
      <c r="G129" s="147" t="s">
        <v>73</v>
      </c>
      <c r="H129" s="96">
        <f>IF(G129="CORTESIA",0,D129*F129)</f>
      </c>
      <c r="I129" s="96">
        <f>VLOOKUP(E129,PRECIFICAÇÃO!Q:S,3,FALSE)*D129</f>
      </c>
      <c r="J129" s="96">
        <f>VLOOKUP(E129,PRECIFICAÇÃO!Q:U,4,FALSE)*D129</f>
      </c>
      <c r="K129" s="147" t="s">
        <v>22</v>
      </c>
      <c r="L129" s="151" t="s">
        <v>74</v>
      </c>
      <c r="M129" s="151"/>
    </row>
    <row x14ac:dyDescent="0.25" r="130" customHeight="1" ht="18.75">
      <c r="A130" s="65" t="s">
        <v>159</v>
      </c>
      <c r="B130" s="147" t="s">
        <v>71</v>
      </c>
      <c r="C130" s="66">
        <f>VLOOKUP(B130,CONFIGURAÇÃO!H:I,2,FALSE)</f>
      </c>
      <c r="D130" s="152">
        <v>2</v>
      </c>
      <c r="E130" s="147" t="s">
        <v>78</v>
      </c>
      <c r="F130" s="96">
        <f>VLOOKUP(E130,PRECIFICAÇÃO!Q:R,2,0)</f>
      </c>
      <c r="G130" s="147" t="s">
        <v>73</v>
      </c>
      <c r="H130" s="96">
        <f>IF(G130="CORTESIA",0,D130*F130)</f>
      </c>
      <c r="I130" s="96">
        <f>VLOOKUP(E130,PRECIFICAÇÃO!Q:S,3,FALSE)*D130</f>
      </c>
      <c r="J130" s="96">
        <f>VLOOKUP(E130,PRECIFICAÇÃO!Q:U,4,FALSE)*D130</f>
      </c>
      <c r="K130" s="147" t="s">
        <v>22</v>
      </c>
      <c r="L130" s="151" t="s">
        <v>74</v>
      </c>
      <c r="M130" s="153"/>
    </row>
    <row x14ac:dyDescent="0.25" r="131" customHeight="1" ht="18.75">
      <c r="A131" s="65" t="s">
        <v>160</v>
      </c>
      <c r="B131" s="147" t="s">
        <v>71</v>
      </c>
      <c r="C131" s="66">
        <f>VLOOKUP(B131,CONFIGURAÇÃO!H:I,2,FALSE)</f>
      </c>
      <c r="D131" s="152">
        <v>2</v>
      </c>
      <c r="E131" s="147" t="s">
        <v>76</v>
      </c>
      <c r="F131" s="96">
        <f>VLOOKUP(E131,PRECIFICAÇÃO!Q:R,2,0)</f>
      </c>
      <c r="G131" s="147" t="s">
        <v>73</v>
      </c>
      <c r="H131" s="96">
        <f>IF(G131="CORTESIA",0,D131*F131)</f>
      </c>
      <c r="I131" s="96">
        <f>VLOOKUP(E131,PRECIFICAÇÃO!Q:S,3,FALSE)*D131</f>
      </c>
      <c r="J131" s="96">
        <f>VLOOKUP(E131,PRECIFICAÇÃO!Q:U,4,FALSE)*D131</f>
      </c>
      <c r="K131" s="147" t="s">
        <v>22</v>
      </c>
      <c r="L131" s="151" t="s">
        <v>74</v>
      </c>
      <c r="M131" s="153"/>
    </row>
    <row x14ac:dyDescent="0.25" r="132" customHeight="1" ht="18.75">
      <c r="A132" s="67" t="s">
        <v>161</v>
      </c>
      <c r="B132" s="147" t="s">
        <v>71</v>
      </c>
      <c r="C132" s="66">
        <f>VLOOKUP(B132,CONFIGURAÇÃO!H:I,2,FALSE)</f>
      </c>
      <c r="D132" s="150">
        <v>2</v>
      </c>
      <c r="E132" s="147" t="s">
        <v>76</v>
      </c>
      <c r="F132" s="96">
        <f>VLOOKUP(E132,PRECIFICAÇÃO!Q:R,2,0)</f>
      </c>
      <c r="G132" s="147" t="s">
        <v>73</v>
      </c>
      <c r="H132" s="96">
        <f>IF(G132="CORTESIA",0,D132*F132)</f>
      </c>
      <c r="I132" s="96">
        <f>VLOOKUP(E132,PRECIFICAÇÃO!Q:S,3,FALSE)*D132</f>
      </c>
      <c r="J132" s="96">
        <f>VLOOKUP(E132,PRECIFICAÇÃO!Q:U,4,FALSE)*D132</f>
      </c>
      <c r="K132" s="147" t="s">
        <v>22</v>
      </c>
      <c r="L132" s="151" t="s">
        <v>74</v>
      </c>
      <c r="M132" s="151"/>
    </row>
    <row x14ac:dyDescent="0.25" r="133" customHeight="1" ht="18.75">
      <c r="A133" s="67" t="s">
        <v>162</v>
      </c>
      <c r="B133" s="147" t="s">
        <v>71</v>
      </c>
      <c r="C133" s="66">
        <f>VLOOKUP(B133,CONFIGURAÇÃO!H:I,2,FALSE)</f>
      </c>
      <c r="D133" s="150">
        <v>1</v>
      </c>
      <c r="E133" s="147" t="s">
        <v>78</v>
      </c>
      <c r="F133" s="96">
        <f>VLOOKUP(E133,PRECIFICAÇÃO!Q:R,2,0)</f>
      </c>
      <c r="G133" s="147" t="s">
        <v>73</v>
      </c>
      <c r="H133" s="96">
        <f>IF(G133="CORTESIA",0,D133*F133)</f>
      </c>
      <c r="I133" s="96">
        <f>VLOOKUP(E133,PRECIFICAÇÃO!Q:S,3,FALSE)*D133</f>
      </c>
      <c r="J133" s="96">
        <f>VLOOKUP(E133,PRECIFICAÇÃO!Q:U,4,FALSE)*D133</f>
      </c>
      <c r="K133" s="147" t="s">
        <v>22</v>
      </c>
      <c r="L133" s="151" t="s">
        <v>74</v>
      </c>
      <c r="M133" s="151"/>
    </row>
    <row x14ac:dyDescent="0.25" r="134" customHeight="1" ht="18.75">
      <c r="A134" s="67" t="s">
        <v>162</v>
      </c>
      <c r="B134" s="147" t="s">
        <v>71</v>
      </c>
      <c r="C134" s="66">
        <f>VLOOKUP(B134,CONFIGURAÇÃO!H:I,2,FALSE)</f>
      </c>
      <c r="D134" s="150">
        <v>1</v>
      </c>
      <c r="E134" s="147" t="s">
        <v>72</v>
      </c>
      <c r="F134" s="96">
        <f>VLOOKUP(E134,PRECIFICAÇÃO!Q:R,2,0)</f>
      </c>
      <c r="G134" s="147" t="s">
        <v>73</v>
      </c>
      <c r="H134" s="96">
        <f>IF(G134="CORTESIA",0,D134*F134)</f>
      </c>
      <c r="I134" s="96">
        <f>VLOOKUP(E134,PRECIFICAÇÃO!Q:S,3,FALSE)*D134</f>
      </c>
      <c r="J134" s="96">
        <f>VLOOKUP(E134,PRECIFICAÇÃO!Q:U,4,FALSE)*D134</f>
      </c>
      <c r="K134" s="147" t="s">
        <v>22</v>
      </c>
      <c r="L134" s="151" t="s">
        <v>74</v>
      </c>
      <c r="M134" s="151"/>
    </row>
    <row x14ac:dyDescent="0.25" r="135" customHeight="1" ht="18.75">
      <c r="A135" s="67" t="s">
        <v>163</v>
      </c>
      <c r="B135" s="147" t="s">
        <v>71</v>
      </c>
      <c r="C135" s="66">
        <f>VLOOKUP(B135,CONFIGURAÇÃO!H:I,2,FALSE)</f>
      </c>
      <c r="D135" s="150">
        <v>2</v>
      </c>
      <c r="E135" s="147" t="s">
        <v>76</v>
      </c>
      <c r="F135" s="96">
        <f>VLOOKUP(E135,PRECIFICAÇÃO!Q:R,2,0)</f>
      </c>
      <c r="G135" s="147" t="s">
        <v>73</v>
      </c>
      <c r="H135" s="96">
        <f>IF(G135="CORTESIA",0,D135*F135)</f>
      </c>
      <c r="I135" s="96">
        <f>VLOOKUP(E135,PRECIFICAÇÃO!Q:S,3,FALSE)*D135</f>
      </c>
      <c r="J135" s="96">
        <f>VLOOKUP(E135,PRECIFICAÇÃO!Q:U,4,FALSE)*D135</f>
      </c>
      <c r="K135" s="147" t="s">
        <v>22</v>
      </c>
      <c r="L135" s="151" t="s">
        <v>74</v>
      </c>
      <c r="M135" s="151"/>
    </row>
    <row x14ac:dyDescent="0.25" r="136" customHeight="1" ht="18.75">
      <c r="A136" s="67" t="s">
        <v>164</v>
      </c>
      <c r="B136" s="147" t="s">
        <v>71</v>
      </c>
      <c r="C136" s="66">
        <f>VLOOKUP(B136,CONFIGURAÇÃO!H:I,2,FALSE)</f>
      </c>
      <c r="D136" s="150">
        <v>2</v>
      </c>
      <c r="E136" s="147" t="s">
        <v>76</v>
      </c>
      <c r="F136" s="96">
        <f>VLOOKUP(E136,PRECIFICAÇÃO!Q:R,2,0)</f>
      </c>
      <c r="G136" s="147" t="s">
        <v>73</v>
      </c>
      <c r="H136" s="96">
        <f>IF(G136="CORTESIA",0,D136*F136)</f>
      </c>
      <c r="I136" s="96">
        <f>VLOOKUP(E136,PRECIFICAÇÃO!Q:S,3,FALSE)*D136</f>
      </c>
      <c r="J136" s="96">
        <f>VLOOKUP(E136,PRECIFICAÇÃO!Q:U,4,FALSE)*D136</f>
      </c>
      <c r="K136" s="147" t="s">
        <v>22</v>
      </c>
      <c r="L136" s="151" t="s">
        <v>74</v>
      </c>
      <c r="M136" s="151"/>
    </row>
    <row x14ac:dyDescent="0.25" r="137" customHeight="1" ht="18.75">
      <c r="A137" s="65">
        <v>45771</v>
      </c>
      <c r="B137" s="147" t="s">
        <v>79</v>
      </c>
      <c r="C137" s="66">
        <f>VLOOKUP(B137,CONFIGURAÇÃO!H:I,2,FALSE)</f>
      </c>
      <c r="D137" s="150">
        <v>2</v>
      </c>
      <c r="E137" s="147" t="s">
        <v>165</v>
      </c>
      <c r="F137" s="96">
        <f>VLOOKUP(E137,PRECIFICAÇÃO!Q:R,2,0)</f>
      </c>
      <c r="G137" s="147" t="s">
        <v>73</v>
      </c>
      <c r="H137" s="96">
        <f>IF(G137="CORTESIA",0,D137*F137)</f>
      </c>
      <c r="I137" s="96">
        <f>VLOOKUP(E137,PRECIFICAÇÃO!Q:S,3,FALSE)*D137</f>
      </c>
      <c r="J137" s="96">
        <f>VLOOKUP(E137,PRECIFICAÇÃO!Q:U,4,FALSE)*D137</f>
      </c>
      <c r="K137" s="147" t="s">
        <v>22</v>
      </c>
      <c r="L137" s="151" t="s">
        <v>74</v>
      </c>
      <c r="M137" s="151"/>
    </row>
    <row x14ac:dyDescent="0.25" r="138" customHeight="1" ht="18.75">
      <c r="A138" s="65">
        <v>45771</v>
      </c>
      <c r="B138" s="147" t="s">
        <v>81</v>
      </c>
      <c r="C138" s="66">
        <f>VLOOKUP(B138,CONFIGURAÇÃO!H:I,2,FALSE)</f>
      </c>
      <c r="D138" s="150">
        <v>3</v>
      </c>
      <c r="E138" s="147" t="s">
        <v>165</v>
      </c>
      <c r="F138" s="96">
        <f>VLOOKUP(E138,PRECIFICAÇÃO!Q:R,2,0)</f>
      </c>
      <c r="G138" s="147" t="s">
        <v>73</v>
      </c>
      <c r="H138" s="96">
        <f>IF(G138="CORTESIA",0,D138*F138)</f>
      </c>
      <c r="I138" s="96">
        <f>VLOOKUP(E138,PRECIFICAÇÃO!Q:S,3,FALSE)*D138</f>
      </c>
      <c r="J138" s="96">
        <f>VLOOKUP(E138,PRECIFICAÇÃO!Q:U,4,FALSE)*D138</f>
      </c>
      <c r="K138" s="147" t="s">
        <v>22</v>
      </c>
      <c r="L138" s="151" t="s">
        <v>74</v>
      </c>
      <c r="M138" s="151"/>
    </row>
    <row x14ac:dyDescent="0.25" r="139" customHeight="1" ht="18.75">
      <c r="A139" s="65">
        <v>45771</v>
      </c>
      <c r="B139" s="147" t="s">
        <v>116</v>
      </c>
      <c r="C139" s="66">
        <f>VLOOKUP(B139,CONFIGURAÇÃO!H:I,2,FALSE)</f>
      </c>
      <c r="D139" s="150">
        <v>1</v>
      </c>
      <c r="E139" s="147" t="s">
        <v>165</v>
      </c>
      <c r="F139" s="96">
        <f>VLOOKUP(E139,PRECIFICAÇÃO!Q:R,2,0)</f>
      </c>
      <c r="G139" s="147" t="s">
        <v>73</v>
      </c>
      <c r="H139" s="96">
        <f>IF(G139="CORTESIA",0,D139*F139)</f>
      </c>
      <c r="I139" s="96">
        <f>VLOOKUP(E139,PRECIFICAÇÃO!Q:S,3,FALSE)*D139</f>
      </c>
      <c r="J139" s="96">
        <f>VLOOKUP(E139,PRECIFICAÇÃO!Q:U,4,FALSE)*D139</f>
      </c>
      <c r="K139" s="147" t="s">
        <v>22</v>
      </c>
      <c r="L139" s="151" t="s">
        <v>74</v>
      </c>
      <c r="M139" s="151"/>
    </row>
    <row x14ac:dyDescent="0.25" r="140" customHeight="1" ht="18.75">
      <c r="A140" s="65">
        <v>45771</v>
      </c>
      <c r="B140" s="147" t="s">
        <v>158</v>
      </c>
      <c r="C140" s="66">
        <f>VLOOKUP(B140,CONFIGURAÇÃO!H:I,2,FALSE)</f>
      </c>
      <c r="D140" s="150">
        <v>1</v>
      </c>
      <c r="E140" s="147" t="s">
        <v>165</v>
      </c>
      <c r="F140" s="96">
        <f>VLOOKUP(E140,PRECIFICAÇÃO!Q:R,2,0)</f>
      </c>
      <c r="G140" s="147" t="s">
        <v>73</v>
      </c>
      <c r="H140" s="96">
        <f>IF(G140="CORTESIA",0,D140*F140)</f>
      </c>
      <c r="I140" s="96">
        <f>VLOOKUP(E140,PRECIFICAÇÃO!Q:S,3,FALSE)*D140</f>
      </c>
      <c r="J140" s="96">
        <f>VLOOKUP(E140,PRECIFICAÇÃO!Q:U,4,FALSE)*D140</f>
      </c>
      <c r="K140" s="147" t="s">
        <v>22</v>
      </c>
      <c r="L140" s="151" t="s">
        <v>74</v>
      </c>
      <c r="M140" s="151"/>
    </row>
    <row x14ac:dyDescent="0.25" r="141" customHeight="1" ht="18.75">
      <c r="A141" s="65">
        <v>45771</v>
      </c>
      <c r="B141" s="147" t="s">
        <v>85</v>
      </c>
      <c r="C141" s="66">
        <f>VLOOKUP(B141,CONFIGURAÇÃO!H:I,2,FALSE)</f>
      </c>
      <c r="D141" s="150">
        <v>1</v>
      </c>
      <c r="E141" s="147" t="s">
        <v>165</v>
      </c>
      <c r="F141" s="96">
        <f>VLOOKUP(E141,PRECIFICAÇÃO!Q:R,2,0)</f>
      </c>
      <c r="G141" s="147" t="s">
        <v>73</v>
      </c>
      <c r="H141" s="96">
        <f>IF(G141="CORTESIA",0,D141*F141)</f>
      </c>
      <c r="I141" s="96">
        <f>VLOOKUP(E141,PRECIFICAÇÃO!Q:S,3,FALSE)*D141</f>
      </c>
      <c r="J141" s="96">
        <f>VLOOKUP(E141,PRECIFICAÇÃO!Q:U,4,FALSE)*D141</f>
      </c>
      <c r="K141" s="147" t="s">
        <v>22</v>
      </c>
      <c r="L141" s="151" t="s">
        <v>74</v>
      </c>
      <c r="M141" s="151"/>
    </row>
    <row x14ac:dyDescent="0.25" r="142" customHeight="1" ht="18.75">
      <c r="A142" s="65">
        <v>45771</v>
      </c>
      <c r="B142" s="147" t="s">
        <v>118</v>
      </c>
      <c r="C142" s="66">
        <f>VLOOKUP(B142,CONFIGURAÇÃO!H:I,2,FALSE)</f>
      </c>
      <c r="D142" s="150">
        <v>1</v>
      </c>
      <c r="E142" s="147" t="s">
        <v>165</v>
      </c>
      <c r="F142" s="96">
        <f>VLOOKUP(E142,PRECIFICAÇÃO!Q:R,2,0)</f>
      </c>
      <c r="G142" s="147" t="s">
        <v>73</v>
      </c>
      <c r="H142" s="96">
        <f>IF(G142="CORTESIA",0,D142*F142)</f>
      </c>
      <c r="I142" s="96">
        <f>VLOOKUP(E142,PRECIFICAÇÃO!Q:S,3,FALSE)*D142</f>
      </c>
      <c r="J142" s="96">
        <f>VLOOKUP(E142,PRECIFICAÇÃO!Q:U,4,FALSE)*D142</f>
      </c>
      <c r="K142" s="147" t="s">
        <v>22</v>
      </c>
      <c r="L142" s="151" t="s">
        <v>74</v>
      </c>
      <c r="M142" s="151"/>
    </row>
    <row x14ac:dyDescent="0.25" r="143" customHeight="1" ht="18.75">
      <c r="A143" s="65">
        <v>45771</v>
      </c>
      <c r="B143" s="147" t="s">
        <v>166</v>
      </c>
      <c r="C143" s="66">
        <f>VLOOKUP(B143,CONFIGURAÇÃO!H:I,2,FALSE)</f>
      </c>
      <c r="D143" s="150">
        <v>1</v>
      </c>
      <c r="E143" s="147" t="s">
        <v>165</v>
      </c>
      <c r="F143" s="96">
        <f>VLOOKUP(E143,PRECIFICAÇÃO!Q:R,2,0)</f>
      </c>
      <c r="G143" s="147" t="s">
        <v>73</v>
      </c>
      <c r="H143" s="96">
        <f>IF(G143="CORTESIA",0,D143*F143)</f>
      </c>
      <c r="I143" s="96">
        <f>VLOOKUP(E143,PRECIFICAÇÃO!Q:S,3,FALSE)*D143</f>
      </c>
      <c r="J143" s="96">
        <f>VLOOKUP(E143,PRECIFICAÇÃO!Q:U,4,FALSE)*D143</f>
      </c>
      <c r="K143" s="147" t="s">
        <v>22</v>
      </c>
      <c r="L143" s="151" t="s">
        <v>74</v>
      </c>
      <c r="M143" s="151"/>
    </row>
    <row x14ac:dyDescent="0.25" r="144" customHeight="1" ht="18.75">
      <c r="A144" s="65">
        <v>45771</v>
      </c>
      <c r="B144" s="147" t="s">
        <v>101</v>
      </c>
      <c r="C144" s="66">
        <f>VLOOKUP(B144,CONFIGURAÇÃO!H:I,2,FALSE)</f>
      </c>
      <c r="D144" s="150">
        <v>1</v>
      </c>
      <c r="E144" s="147" t="s">
        <v>165</v>
      </c>
      <c r="F144" s="96">
        <f>VLOOKUP(E144,PRECIFICAÇÃO!Q:R,2,0)</f>
      </c>
      <c r="G144" s="147" t="s">
        <v>73</v>
      </c>
      <c r="H144" s="96">
        <f>IF(G144="CORTESIA",0,D144*F144)</f>
      </c>
      <c r="I144" s="96">
        <f>VLOOKUP(E144,PRECIFICAÇÃO!Q:S,3,FALSE)*D144</f>
      </c>
      <c r="J144" s="96">
        <f>VLOOKUP(E144,PRECIFICAÇÃO!Q:U,4,FALSE)*D144</f>
      </c>
      <c r="K144" s="147" t="s">
        <v>22</v>
      </c>
      <c r="L144" s="151" t="s">
        <v>74</v>
      </c>
      <c r="M144" s="151"/>
    </row>
    <row x14ac:dyDescent="0.25" r="145" customHeight="1" ht="18.75">
      <c r="A145" s="65">
        <v>45771</v>
      </c>
      <c r="B145" s="147" t="s">
        <v>91</v>
      </c>
      <c r="C145" s="66">
        <f>VLOOKUP(B145,CONFIGURAÇÃO!H:I,2,FALSE)</f>
      </c>
      <c r="D145" s="150">
        <v>1</v>
      </c>
      <c r="E145" s="147" t="s">
        <v>76</v>
      </c>
      <c r="F145" s="96">
        <f>VLOOKUP(E145,PRECIFICAÇÃO!Q:R,2,0)</f>
      </c>
      <c r="G145" s="147" t="s">
        <v>73</v>
      </c>
      <c r="H145" s="96">
        <f>IF(G145="CORTESIA",0,D145*F145)</f>
      </c>
      <c r="I145" s="96">
        <f>VLOOKUP(E145,PRECIFICAÇÃO!Q:S,3,FALSE)*D145</f>
      </c>
      <c r="J145" s="96">
        <f>VLOOKUP(E145,PRECIFICAÇÃO!Q:U,4,FALSE)*D145</f>
      </c>
      <c r="K145" s="147" t="s">
        <v>22</v>
      </c>
      <c r="L145" s="151" t="s">
        <v>74</v>
      </c>
      <c r="M145" s="151"/>
    </row>
    <row x14ac:dyDescent="0.25" r="146" customHeight="1" ht="18.75">
      <c r="A146" s="65">
        <v>45771</v>
      </c>
      <c r="B146" s="147" t="s">
        <v>83</v>
      </c>
      <c r="C146" s="66">
        <f>VLOOKUP(B146,CONFIGURAÇÃO!H:I,2,FALSE)</f>
      </c>
      <c r="D146" s="150">
        <v>1</v>
      </c>
      <c r="E146" s="147" t="s">
        <v>76</v>
      </c>
      <c r="F146" s="96">
        <f>VLOOKUP(E146,PRECIFICAÇÃO!Q:R,2,0)</f>
      </c>
      <c r="G146" s="147" t="s">
        <v>73</v>
      </c>
      <c r="H146" s="96">
        <f>IF(G146="CORTESIA",0,D146*F146)</f>
      </c>
      <c r="I146" s="96">
        <f>VLOOKUP(E146,PRECIFICAÇÃO!Q:S,3,FALSE)*D146</f>
      </c>
      <c r="J146" s="96">
        <f>VLOOKUP(E146,PRECIFICAÇÃO!Q:U,4,FALSE)*D146</f>
      </c>
      <c r="K146" s="147" t="s">
        <v>22</v>
      </c>
      <c r="L146" s="151" t="s">
        <v>74</v>
      </c>
      <c r="M146" s="151"/>
    </row>
    <row x14ac:dyDescent="0.25" r="147" customHeight="1" ht="18.75">
      <c r="A147" s="65">
        <v>45771</v>
      </c>
      <c r="B147" s="147" t="s">
        <v>123</v>
      </c>
      <c r="C147" s="66">
        <f>VLOOKUP(B147,CONFIGURAÇÃO!H:I,2,FALSE)</f>
      </c>
      <c r="D147" s="150">
        <v>1</v>
      </c>
      <c r="E147" s="147" t="s">
        <v>76</v>
      </c>
      <c r="F147" s="96">
        <f>VLOOKUP(E147,PRECIFICAÇÃO!Q:R,2,0)</f>
      </c>
      <c r="G147" s="147" t="s">
        <v>73</v>
      </c>
      <c r="H147" s="96">
        <f>IF(G147="CORTESIA",0,D147*F147)</f>
      </c>
      <c r="I147" s="96">
        <f>VLOOKUP(E147,PRECIFICAÇÃO!Q:S,3,FALSE)*D147</f>
      </c>
      <c r="J147" s="96">
        <f>VLOOKUP(E147,PRECIFICAÇÃO!Q:U,4,FALSE)*D147</f>
      </c>
      <c r="K147" s="147" t="s">
        <v>22</v>
      </c>
      <c r="L147" s="151" t="s">
        <v>74</v>
      </c>
      <c r="M147" s="151"/>
    </row>
    <row x14ac:dyDescent="0.25" r="148" customHeight="1" ht="18.75">
      <c r="A148" s="65">
        <v>45771</v>
      </c>
      <c r="B148" s="147" t="s">
        <v>146</v>
      </c>
      <c r="C148" s="66">
        <f>VLOOKUP(B148,CONFIGURAÇÃO!H:I,2,FALSE)</f>
      </c>
      <c r="D148" s="150">
        <v>1</v>
      </c>
      <c r="E148" s="147" t="s">
        <v>76</v>
      </c>
      <c r="F148" s="96">
        <f>VLOOKUP(E148,PRECIFICAÇÃO!Q:R,2,0)</f>
      </c>
      <c r="G148" s="147" t="s">
        <v>73</v>
      </c>
      <c r="H148" s="96">
        <f>IF(G148="CORTESIA",0,D148*F148)</f>
      </c>
      <c r="I148" s="96">
        <f>VLOOKUP(E148,PRECIFICAÇÃO!Q:S,3,FALSE)*D148</f>
      </c>
      <c r="J148" s="96">
        <f>VLOOKUP(E148,PRECIFICAÇÃO!Q:U,4,FALSE)*D148</f>
      </c>
      <c r="K148" s="147" t="s">
        <v>22</v>
      </c>
      <c r="L148" s="151" t="s">
        <v>74</v>
      </c>
      <c r="M148" s="151"/>
    </row>
    <row x14ac:dyDescent="0.25" r="149" customHeight="1" ht="18.75">
      <c r="A149" s="65">
        <v>45771</v>
      </c>
      <c r="B149" s="147" t="s">
        <v>136</v>
      </c>
      <c r="C149" s="66">
        <f>VLOOKUP(B149,CONFIGURAÇÃO!H:I,2,FALSE)</f>
      </c>
      <c r="D149" s="150">
        <v>0</v>
      </c>
      <c r="E149" s="147" t="s">
        <v>165</v>
      </c>
      <c r="F149" s="96">
        <f>VLOOKUP(E149,PRECIFICAÇÃO!Q:R,2,0)</f>
      </c>
      <c r="G149" s="147" t="s">
        <v>73</v>
      </c>
      <c r="H149" s="96">
        <f>IF(G149="CORTESIA",0,D149*F149)</f>
      </c>
      <c r="I149" s="96">
        <f>VLOOKUP(E149,PRECIFICAÇÃO!Q:S,3,FALSE)*D149</f>
      </c>
      <c r="J149" s="96">
        <f>VLOOKUP(E149,PRECIFICAÇÃO!Q:U,4,FALSE)*D149</f>
      </c>
      <c r="K149" s="147" t="s">
        <v>22</v>
      </c>
      <c r="L149" s="151" t="s">
        <v>74</v>
      </c>
      <c r="M149" s="151"/>
    </row>
    <row x14ac:dyDescent="0.25" r="150" customHeight="1" ht="18.75">
      <c r="A150" s="65">
        <v>45772</v>
      </c>
      <c r="B150" s="147" t="s">
        <v>82</v>
      </c>
      <c r="C150" s="66">
        <f>VLOOKUP(B150,CONFIGURAÇÃO!H:I,2,FALSE)</f>
      </c>
      <c r="D150" s="150">
        <v>2</v>
      </c>
      <c r="E150" s="147" t="s">
        <v>154</v>
      </c>
      <c r="F150" s="96">
        <f>VLOOKUP(E150,PRECIFICAÇÃO!Q:R,2,0)</f>
      </c>
      <c r="G150" s="147" t="s">
        <v>73</v>
      </c>
      <c r="H150" s="96">
        <f>IF(G150="CORTESIA",0,D150*F150)</f>
      </c>
      <c r="I150" s="96">
        <f>VLOOKUP(E150,PRECIFICAÇÃO!Q:S,3,FALSE)*D150</f>
      </c>
      <c r="J150" s="96">
        <f>VLOOKUP(E150,PRECIFICAÇÃO!Q:U,4,FALSE)*D150</f>
      </c>
      <c r="K150" s="147" t="s">
        <v>22</v>
      </c>
      <c r="L150" s="151" t="s">
        <v>74</v>
      </c>
      <c r="M150" s="151"/>
    </row>
    <row x14ac:dyDescent="0.25" r="151" customHeight="1" ht="18.75">
      <c r="A151" s="65">
        <v>45772</v>
      </c>
      <c r="B151" s="147" t="s">
        <v>82</v>
      </c>
      <c r="C151" s="66">
        <f>VLOOKUP(B151,CONFIGURAÇÃO!H:I,2,FALSE)</f>
      </c>
      <c r="D151" s="150">
        <v>1</v>
      </c>
      <c r="E151" s="147" t="s">
        <v>167</v>
      </c>
      <c r="F151" s="96">
        <f>VLOOKUP(E151,PRECIFICAÇÃO!Q:R,2,0)</f>
      </c>
      <c r="G151" s="147" t="s">
        <v>73</v>
      </c>
      <c r="H151" s="96">
        <f>IF(G151="CORTESIA",0,D151*F151)</f>
      </c>
      <c r="I151" s="96">
        <f>VLOOKUP(E151,PRECIFICAÇÃO!Q:S,3,FALSE)*D151</f>
      </c>
      <c r="J151" s="96">
        <f>VLOOKUP(E151,PRECIFICAÇÃO!Q:U,4,FALSE)*D151</f>
      </c>
      <c r="K151" s="147" t="s">
        <v>22</v>
      </c>
      <c r="L151" s="151" t="s">
        <v>74</v>
      </c>
      <c r="M151" s="151"/>
    </row>
    <row x14ac:dyDescent="0.25" r="152" customHeight="1" ht="18.75">
      <c r="A152" s="65">
        <v>45772</v>
      </c>
      <c r="B152" s="147" t="s">
        <v>82</v>
      </c>
      <c r="C152" s="66">
        <f>VLOOKUP(B152,CONFIGURAÇÃO!H:I,2,FALSE)</f>
      </c>
      <c r="D152" s="150">
        <v>1</v>
      </c>
      <c r="E152" s="147" t="s">
        <v>168</v>
      </c>
      <c r="F152" s="96">
        <f>VLOOKUP(E152,PRECIFICAÇÃO!Q:R,2,0)</f>
      </c>
      <c r="G152" s="147" t="s">
        <v>73</v>
      </c>
      <c r="H152" s="96">
        <f>IF(G152="CORTESIA",0,D152*F152)</f>
      </c>
      <c r="I152" s="96">
        <f>VLOOKUP(E152,PRECIFICAÇÃO!Q:S,3,FALSE)*D152</f>
      </c>
      <c r="J152" s="96">
        <f>VLOOKUP(E152,PRECIFICAÇÃO!Q:U,4,FALSE)*D152</f>
      </c>
      <c r="K152" s="147" t="s">
        <v>22</v>
      </c>
      <c r="L152" s="151" t="s">
        <v>74</v>
      </c>
      <c r="M152" s="151"/>
    </row>
    <row x14ac:dyDescent="0.25" r="153" customHeight="1" ht="18.75">
      <c r="A153" s="65">
        <v>45772</v>
      </c>
      <c r="B153" s="147" t="s">
        <v>169</v>
      </c>
      <c r="C153" s="66">
        <f>VLOOKUP(B153,CONFIGURAÇÃO!H:I,2,FALSE)</f>
      </c>
      <c r="D153" s="150">
        <v>1</v>
      </c>
      <c r="E153" s="147" t="s">
        <v>154</v>
      </c>
      <c r="F153" s="96">
        <f>VLOOKUP(E153,PRECIFICAÇÃO!Q:R,2,0)</f>
      </c>
      <c r="G153" s="147" t="s">
        <v>73</v>
      </c>
      <c r="H153" s="96">
        <f>IF(G153="CORTESIA",0,D153*F153)</f>
      </c>
      <c r="I153" s="96">
        <f>VLOOKUP(E153,PRECIFICAÇÃO!Q:S,3,FALSE)*D153</f>
      </c>
      <c r="J153" s="96">
        <f>VLOOKUP(E153,PRECIFICAÇÃO!Q:U,4,FALSE)*D153</f>
      </c>
      <c r="K153" s="147" t="s">
        <v>22</v>
      </c>
      <c r="L153" s="151" t="s">
        <v>74</v>
      </c>
      <c r="M153" s="151"/>
    </row>
    <row x14ac:dyDescent="0.25" r="154" customHeight="1" ht="18.75">
      <c r="A154" s="67">
        <v>45740</v>
      </c>
      <c r="B154" s="154" t="s">
        <v>170</v>
      </c>
      <c r="C154" s="66">
        <f>VLOOKUP(B154,CONFIGURAÇÃO!H:I,2,FALSE)</f>
      </c>
      <c r="D154" s="148">
        <v>1</v>
      </c>
      <c r="E154" s="149" t="s">
        <v>72</v>
      </c>
      <c r="F154" s="96">
        <f>VLOOKUP(E154,PRECIFICAÇÃO!Q:R,2,0)</f>
      </c>
      <c r="G154" s="147" t="s">
        <v>73</v>
      </c>
      <c r="H154" s="96">
        <f>IF(G154="CORTESIA",0,D154*F154)</f>
      </c>
      <c r="I154" s="96">
        <f>VLOOKUP(E154,PRECIFICAÇÃO!Q:S,3,FALSE)*D154</f>
      </c>
      <c r="J154" s="96">
        <f>VLOOKUP(E154,PRECIFICAÇÃO!Q:U,4,FALSE)*D154</f>
      </c>
      <c r="K154" s="147" t="s">
        <v>50</v>
      </c>
      <c r="L154" s="151" t="s">
        <v>74</v>
      </c>
      <c r="M154" s="151"/>
    </row>
    <row x14ac:dyDescent="0.25" r="155" customHeight="1" ht="18.75">
      <c r="A155" s="67">
        <v>45740</v>
      </c>
      <c r="B155" s="154" t="s">
        <v>170</v>
      </c>
      <c r="C155" s="66">
        <f>VLOOKUP(B155,CONFIGURAÇÃO!H:I,2,FALSE)</f>
      </c>
      <c r="D155" s="148">
        <v>1</v>
      </c>
      <c r="E155" s="149" t="s">
        <v>171</v>
      </c>
      <c r="F155" s="96">
        <f>VLOOKUP(E155,PRECIFICAÇÃO!Q:R,2,0)</f>
      </c>
      <c r="G155" s="147" t="s">
        <v>73</v>
      </c>
      <c r="H155" s="96">
        <f>IF(G155="CORTESIA",0,D155*F155)</f>
      </c>
      <c r="I155" s="96">
        <f>VLOOKUP(E155,PRECIFICAÇÃO!Q:S,3,FALSE)*D155</f>
      </c>
      <c r="J155" s="96">
        <f>VLOOKUP(E155,PRECIFICAÇÃO!Q:U,4,FALSE)*D155</f>
      </c>
      <c r="K155" s="147" t="s">
        <v>50</v>
      </c>
      <c r="L155" s="151" t="s">
        <v>74</v>
      </c>
      <c r="M155" s="151"/>
    </row>
    <row x14ac:dyDescent="0.25" r="156" customHeight="1" ht="18.75">
      <c r="A156" s="67" t="s">
        <v>172</v>
      </c>
      <c r="B156" s="154" t="s">
        <v>170</v>
      </c>
      <c r="C156" s="66">
        <f>VLOOKUP(B156,CONFIGURAÇÃO!H:I,2,FALSE)</f>
      </c>
      <c r="D156" s="148">
        <v>2</v>
      </c>
      <c r="E156" s="147" t="s">
        <v>76</v>
      </c>
      <c r="F156" s="96">
        <f>VLOOKUP(E156,PRECIFICAÇÃO!Q:R,2,0)</f>
      </c>
      <c r="G156" s="147" t="s">
        <v>73</v>
      </c>
      <c r="H156" s="96">
        <f>IF(G156="CORTESIA",0,D156*F156)</f>
      </c>
      <c r="I156" s="96">
        <f>VLOOKUP(E156,PRECIFICAÇÃO!Q:S,3,FALSE)*D156</f>
      </c>
      <c r="J156" s="96">
        <f>VLOOKUP(E156,PRECIFICAÇÃO!Q:U,4,FALSE)*D156</f>
      </c>
      <c r="K156" s="147" t="s">
        <v>50</v>
      </c>
      <c r="L156" s="151" t="s">
        <v>74</v>
      </c>
      <c r="M156" s="151"/>
    </row>
    <row x14ac:dyDescent="0.25" r="157" customHeight="1" ht="18.75">
      <c r="A157" s="67" t="s">
        <v>159</v>
      </c>
      <c r="B157" s="154" t="s">
        <v>170</v>
      </c>
      <c r="C157" s="66">
        <f>VLOOKUP(B157,CONFIGURAÇÃO!H:I,2,FALSE)</f>
      </c>
      <c r="D157" s="148">
        <v>2</v>
      </c>
      <c r="E157" s="149" t="s">
        <v>78</v>
      </c>
      <c r="F157" s="96">
        <f>VLOOKUP(E157,PRECIFICAÇÃO!Q:R,2,0)</f>
      </c>
      <c r="G157" s="147" t="s">
        <v>73</v>
      </c>
      <c r="H157" s="96">
        <f>IF(G157="CORTESIA",0,D157*F157)</f>
      </c>
      <c r="I157" s="96">
        <f>VLOOKUP(E157,PRECIFICAÇÃO!Q:S,3,FALSE)*D157</f>
      </c>
      <c r="J157" s="96">
        <f>VLOOKUP(E157,PRECIFICAÇÃO!Q:U,4,FALSE)*D157</f>
      </c>
      <c r="K157" s="147" t="s">
        <v>50</v>
      </c>
      <c r="L157" s="151" t="s">
        <v>74</v>
      </c>
      <c r="M157" s="151"/>
    </row>
    <row x14ac:dyDescent="0.25" r="158" customHeight="1" ht="18.75">
      <c r="A158" s="65" t="s">
        <v>163</v>
      </c>
      <c r="B158" s="155" t="s">
        <v>170</v>
      </c>
      <c r="C158" s="66">
        <f>VLOOKUP(B158,CONFIGURAÇÃO!H:I,2,FALSE)</f>
      </c>
      <c r="D158" s="66">
        <v>2</v>
      </c>
      <c r="E158" s="147" t="s">
        <v>76</v>
      </c>
      <c r="F158" s="96">
        <f>VLOOKUP(E158,PRECIFICAÇÃO!Q:R,2,0)</f>
      </c>
      <c r="G158" s="147" t="s">
        <v>73</v>
      </c>
      <c r="H158" s="96">
        <f>IF(G158="CORTESIA",0,D158*F158)</f>
      </c>
      <c r="I158" s="96">
        <f>VLOOKUP(E158,PRECIFICAÇÃO!Q:S,3,FALSE)*D158</f>
      </c>
      <c r="J158" s="96">
        <f>VLOOKUP(E158,PRECIFICAÇÃO!Q:U,4,FALSE)*D158</f>
      </c>
      <c r="K158" s="147" t="s">
        <v>50</v>
      </c>
      <c r="L158" s="151" t="s">
        <v>74</v>
      </c>
      <c r="M158" s="151"/>
    </row>
    <row x14ac:dyDescent="0.25" r="159" customHeight="1" ht="18.75">
      <c r="A159" s="65">
        <v>45661</v>
      </c>
      <c r="B159" s="155" t="s">
        <v>173</v>
      </c>
      <c r="C159" s="66">
        <f>VLOOKUP(B159,CONFIGURAÇÃO!H:I,2,FALSE)</f>
      </c>
      <c r="D159" s="66">
        <v>2</v>
      </c>
      <c r="E159" s="147" t="s">
        <v>72</v>
      </c>
      <c r="F159" s="96">
        <f>VLOOKUP(E159,PRECIFICAÇÃO!Q:R,2,0)</f>
      </c>
      <c r="G159" s="147" t="s">
        <v>73</v>
      </c>
      <c r="H159" s="96">
        <f>IF(G159="CORTESIA",0,D159*F159)</f>
      </c>
      <c r="I159" s="96">
        <f>VLOOKUP(E159,PRECIFICAÇÃO!Q:S,3,FALSE)*D159</f>
      </c>
      <c r="J159" s="96">
        <f>VLOOKUP(E159,PRECIFICAÇÃO!Q:U,4,FALSE)*D159</f>
      </c>
      <c r="K159" s="147" t="s">
        <v>50</v>
      </c>
      <c r="L159" s="151" t="s">
        <v>74</v>
      </c>
      <c r="M159" s="151"/>
    </row>
    <row x14ac:dyDescent="0.25" r="160" customHeight="1" ht="18.75">
      <c r="A160" s="65">
        <v>45699</v>
      </c>
      <c r="B160" s="155" t="s">
        <v>174</v>
      </c>
      <c r="C160" s="66">
        <f>VLOOKUP(B160,CONFIGURAÇÃO!H:I,2,FALSE)</f>
      </c>
      <c r="D160" s="66">
        <v>2</v>
      </c>
      <c r="E160" s="147" t="s">
        <v>78</v>
      </c>
      <c r="F160" s="96">
        <f>VLOOKUP(E160,PRECIFICAÇÃO!Q:R,2,0)</f>
      </c>
      <c r="G160" s="147" t="s">
        <v>73</v>
      </c>
      <c r="H160" s="96">
        <f>IF(G160="CORTESIA",0,D160*F160)</f>
      </c>
      <c r="I160" s="96">
        <f>VLOOKUP(E160,PRECIFICAÇÃO!Q:S,3,FALSE)*D160</f>
      </c>
      <c r="J160" s="96">
        <f>VLOOKUP(E160,PRECIFICAÇÃO!Q:U,4,FALSE)*D160</f>
      </c>
      <c r="K160" s="147" t="s">
        <v>50</v>
      </c>
      <c r="L160" s="151" t="s">
        <v>74</v>
      </c>
      <c r="M160" s="151"/>
    </row>
    <row x14ac:dyDescent="0.25" r="161" customHeight="1" ht="18.75">
      <c r="A161" s="67">
        <v>45740</v>
      </c>
      <c r="B161" s="154" t="s">
        <v>174</v>
      </c>
      <c r="C161" s="66">
        <f>VLOOKUP(B161,CONFIGURAÇÃO!H:I,2,FALSE)</f>
      </c>
      <c r="D161" s="148">
        <v>2</v>
      </c>
      <c r="E161" s="149" t="s">
        <v>78</v>
      </c>
      <c r="F161" s="96">
        <f>VLOOKUP(E161,PRECIFICAÇÃO!Q:R,2,0)</f>
      </c>
      <c r="G161" s="147" t="s">
        <v>73</v>
      </c>
      <c r="H161" s="96">
        <f>IF(G161="CORTESIA",0,D161*F161)</f>
      </c>
      <c r="I161" s="96">
        <f>VLOOKUP(E161,PRECIFICAÇÃO!Q:S,3,FALSE)*D161</f>
      </c>
      <c r="J161" s="96">
        <f>VLOOKUP(E161,PRECIFICAÇÃO!Q:U,4,FALSE)*D161</f>
      </c>
      <c r="K161" s="147" t="s">
        <v>50</v>
      </c>
      <c r="L161" s="151" t="s">
        <v>74</v>
      </c>
      <c r="M161" s="151"/>
    </row>
    <row x14ac:dyDescent="0.25" r="162" customHeight="1" ht="18.75">
      <c r="A162" s="65" t="s">
        <v>34</v>
      </c>
      <c r="B162" s="154" t="s">
        <v>174</v>
      </c>
      <c r="C162" s="66">
        <f>VLOOKUP(B162,CONFIGURAÇÃO!H:I,2,FALSE)</f>
      </c>
      <c r="D162" s="66">
        <v>2</v>
      </c>
      <c r="E162" s="147" t="s">
        <v>78</v>
      </c>
      <c r="F162" s="96">
        <f>VLOOKUP(E162,PRECIFICAÇÃO!Q:R,2,0)</f>
      </c>
      <c r="G162" s="147" t="s">
        <v>73</v>
      </c>
      <c r="H162" s="96">
        <f>IF(G162="CORTESIA",0,D162*F162)</f>
      </c>
      <c r="I162" s="96">
        <f>VLOOKUP(E162,PRECIFICAÇÃO!Q:S,3,FALSE)*D162</f>
      </c>
      <c r="J162" s="96">
        <f>VLOOKUP(E162,PRECIFICAÇÃO!Q:U,4,FALSE)*D162</f>
      </c>
      <c r="K162" s="147" t="s">
        <v>50</v>
      </c>
      <c r="L162" s="151" t="s">
        <v>74</v>
      </c>
      <c r="M162" s="151"/>
    </row>
    <row x14ac:dyDescent="0.25" r="163" customHeight="1" ht="18.75">
      <c r="A163" s="67" t="s">
        <v>175</v>
      </c>
      <c r="B163" s="154" t="s">
        <v>174</v>
      </c>
      <c r="C163" s="66">
        <f>VLOOKUP(B163,CONFIGURAÇÃO!H:I,2,FALSE)</f>
      </c>
      <c r="D163" s="148">
        <v>1</v>
      </c>
      <c r="E163" s="149" t="s">
        <v>72</v>
      </c>
      <c r="F163" s="96">
        <f>VLOOKUP(E163,PRECIFICAÇÃO!Q:R,2,0)</f>
      </c>
      <c r="G163" s="147" t="s">
        <v>73</v>
      </c>
      <c r="H163" s="96">
        <f>IF(G163="CORTESIA",0,D163*F163)</f>
      </c>
      <c r="I163" s="96">
        <f>VLOOKUP(E163,PRECIFICAÇÃO!Q:S,3,FALSE)*D163</f>
      </c>
      <c r="J163" s="96">
        <f>VLOOKUP(E163,PRECIFICAÇÃO!Q:U,4,FALSE)*D163</f>
      </c>
      <c r="K163" s="147" t="s">
        <v>50</v>
      </c>
      <c r="L163" s="151" t="s">
        <v>74</v>
      </c>
      <c r="M163" s="151"/>
    </row>
    <row x14ac:dyDescent="0.25" r="164" customHeight="1" ht="18.75">
      <c r="A164" s="67" t="s">
        <v>159</v>
      </c>
      <c r="B164" s="154" t="s">
        <v>174</v>
      </c>
      <c r="C164" s="66">
        <f>VLOOKUP(B164,CONFIGURAÇÃO!H:I,2,FALSE)</f>
      </c>
      <c r="D164" s="148">
        <v>1</v>
      </c>
      <c r="E164" s="149" t="s">
        <v>78</v>
      </c>
      <c r="F164" s="96">
        <f>VLOOKUP(E164,PRECIFICAÇÃO!Q:R,2,0)</f>
      </c>
      <c r="G164" s="147" t="s">
        <v>73</v>
      </c>
      <c r="H164" s="96">
        <f>IF(G164="CORTESIA",0,D164*F164)</f>
      </c>
      <c r="I164" s="96">
        <f>VLOOKUP(E164,PRECIFICAÇÃO!Q:S,3,FALSE)*D164</f>
      </c>
      <c r="J164" s="96">
        <f>VLOOKUP(E164,PRECIFICAÇÃO!Q:U,4,FALSE)*D164</f>
      </c>
      <c r="K164" s="147" t="s">
        <v>50</v>
      </c>
      <c r="L164" s="151" t="s">
        <v>74</v>
      </c>
      <c r="M164" s="151"/>
    </row>
    <row x14ac:dyDescent="0.25" r="165" customHeight="1" ht="18.75">
      <c r="A165" s="67">
        <v>45749</v>
      </c>
      <c r="B165" s="154" t="s">
        <v>176</v>
      </c>
      <c r="C165" s="66">
        <f>VLOOKUP(B165,CONFIGURAÇÃO!H:I,2,FALSE)</f>
      </c>
      <c r="D165" s="148">
        <v>1</v>
      </c>
      <c r="E165" s="147" t="s">
        <v>76</v>
      </c>
      <c r="F165" s="96">
        <f>VLOOKUP(E165,PRECIFICAÇÃO!Q:R,2,0)</f>
      </c>
      <c r="G165" s="147" t="s">
        <v>73</v>
      </c>
      <c r="H165" s="96">
        <f>IF(G165="CORTESIA",0,D165*F165)</f>
      </c>
      <c r="I165" s="96">
        <f>VLOOKUP(E165,PRECIFICAÇÃO!Q:S,3,FALSE)*D165</f>
      </c>
      <c r="J165" s="96">
        <f>VLOOKUP(E165,PRECIFICAÇÃO!Q:U,4,FALSE)*D165</f>
      </c>
      <c r="K165" s="147" t="s">
        <v>19</v>
      </c>
      <c r="L165" s="151" t="s">
        <v>74</v>
      </c>
      <c r="M165" s="151"/>
    </row>
    <row x14ac:dyDescent="0.25" r="166" customHeight="1" ht="18.75">
      <c r="A166" s="65" t="s">
        <v>177</v>
      </c>
      <c r="B166" s="155" t="s">
        <v>176</v>
      </c>
      <c r="C166" s="66">
        <f>VLOOKUP(B166,CONFIGURAÇÃO!H:I,2,FALSE)</f>
      </c>
      <c r="D166" s="66">
        <v>2</v>
      </c>
      <c r="E166" s="147" t="s">
        <v>78</v>
      </c>
      <c r="F166" s="96">
        <f>VLOOKUP(E166,PRECIFICAÇÃO!Q:R,2,0)</f>
      </c>
      <c r="G166" s="147" t="s">
        <v>73</v>
      </c>
      <c r="H166" s="96">
        <f>IF(G166="CORTESIA",0,D166*F166)</f>
      </c>
      <c r="I166" s="96">
        <f>VLOOKUP(E166,PRECIFICAÇÃO!Q:S,3,FALSE)*D166</f>
      </c>
      <c r="J166" s="96">
        <f>VLOOKUP(E166,PRECIFICAÇÃO!Q:U,4,FALSE)*D166</f>
      </c>
      <c r="K166" s="147" t="s">
        <v>19</v>
      </c>
      <c r="L166" s="151" t="s">
        <v>74</v>
      </c>
      <c r="M166" s="151"/>
    </row>
    <row x14ac:dyDescent="0.25" r="167" customHeight="1" ht="18.75">
      <c r="A167" s="65" t="s">
        <v>159</v>
      </c>
      <c r="B167" s="155" t="s">
        <v>176</v>
      </c>
      <c r="C167" s="66">
        <f>VLOOKUP(B167,CONFIGURAÇÃO!H:I,2,FALSE)</f>
      </c>
      <c r="D167" s="66">
        <v>2</v>
      </c>
      <c r="E167" s="147" t="s">
        <v>78</v>
      </c>
      <c r="F167" s="96">
        <f>VLOOKUP(E167,PRECIFICAÇÃO!Q:R,2,0)</f>
      </c>
      <c r="G167" s="147" t="s">
        <v>73</v>
      </c>
      <c r="H167" s="96">
        <f>IF(G167="CORTESIA",0,D167*F167)</f>
      </c>
      <c r="I167" s="96">
        <f>VLOOKUP(E167,PRECIFICAÇÃO!Q:S,3,FALSE)*D167</f>
      </c>
      <c r="J167" s="96">
        <f>VLOOKUP(E167,PRECIFICAÇÃO!Q:U,4,FALSE)*D167</f>
      </c>
      <c r="K167" s="147" t="s">
        <v>19</v>
      </c>
      <c r="L167" s="151" t="s">
        <v>74</v>
      </c>
      <c r="M167" s="151"/>
    </row>
    <row x14ac:dyDescent="0.25" r="168" customHeight="1" ht="18.75">
      <c r="A168" s="65" t="s">
        <v>159</v>
      </c>
      <c r="B168" s="155" t="s">
        <v>176</v>
      </c>
      <c r="C168" s="66">
        <f>VLOOKUP(B168,CONFIGURAÇÃO!H:I,2,FALSE)</f>
      </c>
      <c r="D168" s="66">
        <v>1</v>
      </c>
      <c r="E168" s="147" t="s">
        <v>72</v>
      </c>
      <c r="F168" s="96">
        <f>VLOOKUP(E168,PRECIFICAÇÃO!Q:R,2,0)</f>
      </c>
      <c r="G168" s="147" t="s">
        <v>73</v>
      </c>
      <c r="H168" s="96">
        <f>IF(G168="CORTESIA",0,D168*F168)</f>
      </c>
      <c r="I168" s="96">
        <f>VLOOKUP(E168,PRECIFICAÇÃO!Q:S,3,FALSE)*D168</f>
      </c>
      <c r="J168" s="96">
        <f>VLOOKUP(E168,PRECIFICAÇÃO!Q:U,4,FALSE)*D168</f>
      </c>
      <c r="K168" s="147" t="s">
        <v>19</v>
      </c>
      <c r="L168" s="151" t="s">
        <v>74</v>
      </c>
      <c r="M168" s="151"/>
    </row>
    <row x14ac:dyDescent="0.25" r="169" customHeight="1" ht="18.75">
      <c r="A169" s="67" t="s">
        <v>178</v>
      </c>
      <c r="B169" s="154" t="s">
        <v>176</v>
      </c>
      <c r="C169" s="66">
        <f>VLOOKUP(B169,CONFIGURAÇÃO!H:I,2,FALSE)</f>
      </c>
      <c r="D169" s="148">
        <v>1</v>
      </c>
      <c r="E169" s="149" t="s">
        <v>72</v>
      </c>
      <c r="F169" s="96">
        <f>VLOOKUP(E169,PRECIFICAÇÃO!Q:R,2,0)</f>
      </c>
      <c r="G169" s="147" t="s">
        <v>73</v>
      </c>
      <c r="H169" s="96">
        <f>IF(G169="CORTESIA",0,D169*F169)</f>
      </c>
      <c r="I169" s="96">
        <f>VLOOKUP(E169,PRECIFICAÇÃO!Q:S,3,FALSE)*D169</f>
      </c>
      <c r="J169" s="96">
        <f>VLOOKUP(E169,PRECIFICAÇÃO!Q:U,4,FALSE)*D169</f>
      </c>
      <c r="K169" s="147" t="s">
        <v>50</v>
      </c>
      <c r="L169" s="151" t="s">
        <v>74</v>
      </c>
      <c r="M169" s="151"/>
    </row>
    <row x14ac:dyDescent="0.25" r="170" customHeight="1" ht="18.75">
      <c r="A170" s="67" t="s">
        <v>179</v>
      </c>
      <c r="B170" s="154" t="s">
        <v>176</v>
      </c>
      <c r="C170" s="66">
        <f>VLOOKUP(B170,CONFIGURAÇÃO!H:I,2,FALSE)</f>
      </c>
      <c r="D170" s="148">
        <v>1</v>
      </c>
      <c r="E170" s="149" t="s">
        <v>78</v>
      </c>
      <c r="F170" s="96">
        <f>VLOOKUP(E170,PRECIFICAÇÃO!Q:R,2,0)</f>
      </c>
      <c r="G170" s="147" t="s">
        <v>73</v>
      </c>
      <c r="H170" s="96">
        <f>IF(G170="CORTESIA",0,D170*F170)</f>
      </c>
      <c r="I170" s="96">
        <f>VLOOKUP(E170,PRECIFICAÇÃO!Q:S,3,FALSE)*D170</f>
      </c>
      <c r="J170" s="96">
        <f>VLOOKUP(E170,PRECIFICAÇÃO!Q:U,4,FALSE)*D170</f>
      </c>
      <c r="K170" s="147" t="s">
        <v>50</v>
      </c>
      <c r="L170" s="151" t="s">
        <v>74</v>
      </c>
      <c r="M170" s="151"/>
    </row>
    <row x14ac:dyDescent="0.25" r="171" customHeight="1" ht="18.75">
      <c r="A171" s="65" t="s">
        <v>180</v>
      </c>
      <c r="B171" s="155" t="s">
        <v>176</v>
      </c>
      <c r="C171" s="66">
        <f>VLOOKUP(B171,CONFIGURAÇÃO!H:I,2,FALSE)</f>
      </c>
      <c r="D171" s="66">
        <v>2</v>
      </c>
      <c r="E171" s="147" t="s">
        <v>78</v>
      </c>
      <c r="F171" s="96">
        <f>VLOOKUP(E171,PRECIFICAÇÃO!Q:R,2,0)</f>
      </c>
      <c r="G171" s="147" t="s">
        <v>73</v>
      </c>
      <c r="H171" s="96">
        <f>IF(G171="CORTESIA",0,D171*F171)</f>
      </c>
      <c r="I171" s="96">
        <f>VLOOKUP(E171,PRECIFICAÇÃO!Q:S,3,FALSE)*D171</f>
      </c>
      <c r="J171" s="96">
        <f>VLOOKUP(E171,PRECIFICAÇÃO!Q:U,4,FALSE)*D171</f>
      </c>
      <c r="K171" s="147" t="s">
        <v>19</v>
      </c>
      <c r="L171" s="151" t="s">
        <v>74</v>
      </c>
      <c r="M171" s="151"/>
    </row>
    <row x14ac:dyDescent="0.25" r="172" customHeight="1" ht="18.75">
      <c r="A172" s="65" t="s">
        <v>180</v>
      </c>
      <c r="B172" s="155" t="s">
        <v>181</v>
      </c>
      <c r="C172" s="66">
        <f>VLOOKUP(B172,CONFIGURAÇÃO!H:I,2,FALSE)</f>
      </c>
      <c r="D172" s="66">
        <v>3</v>
      </c>
      <c r="E172" s="147" t="s">
        <v>78</v>
      </c>
      <c r="F172" s="96">
        <f>VLOOKUP(E172,PRECIFICAÇÃO!Q:R,2,0)</f>
      </c>
      <c r="G172" s="147" t="s">
        <v>73</v>
      </c>
      <c r="H172" s="96">
        <f>IF(G172="CORTESIA",0,D172*F172)</f>
      </c>
      <c r="I172" s="96">
        <f>VLOOKUP(E172,PRECIFICAÇÃO!Q:S,3,FALSE)*D172</f>
      </c>
      <c r="J172" s="96">
        <f>VLOOKUP(E172,PRECIFICAÇÃO!Q:U,4,FALSE)*D172</f>
      </c>
      <c r="K172" s="147" t="s">
        <v>19</v>
      </c>
      <c r="L172" s="151" t="s">
        <v>74</v>
      </c>
      <c r="M172" s="15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Q222"/>
  <sheetViews>
    <sheetView workbookViewId="0"/>
  </sheetViews>
  <sheetFormatPr defaultRowHeight="15" x14ac:dyDescent="0.25"/>
  <cols>
    <col min="1" max="1" style="70" width="2.5764285714285715" customWidth="1" bestFit="1"/>
    <col min="2" max="2" style="13" width="17.719285714285714" customWidth="1" bestFit="1"/>
    <col min="3" max="3" style="13" width="12.862142857142858" customWidth="1" bestFit="1"/>
    <col min="4" max="4" style="70" width="5.719285714285714" customWidth="1" bestFit="1"/>
    <col min="5" max="5" style="13" width="18.862142857142857" customWidth="1" bestFit="1"/>
    <col min="6" max="6" style="13" width="20.005" customWidth="1" bestFit="1"/>
    <col min="7" max="7" style="13" width="23.433571428571426" customWidth="1" bestFit="1"/>
    <col min="8" max="8" style="70" width="2.5764285714285715" customWidth="1" bestFit="1"/>
    <col min="9" max="9" style="13" width="17.719285714285714" customWidth="1" bestFit="1"/>
    <col min="10" max="10" style="13" width="12.862142857142858" customWidth="1" bestFit="1"/>
    <col min="11" max="11" style="70" width="5.719285714285714" customWidth="1" bestFit="1"/>
    <col min="12" max="12" style="13" width="18.862142857142857" customWidth="1" bestFit="1"/>
    <col min="13" max="13" style="13" width="20.005" customWidth="1" bestFit="1"/>
    <col min="14" max="14" style="13" width="23.433571428571426" customWidth="1" bestFit="1"/>
    <col min="15" max="15" style="70" width="2.5764285714285715" customWidth="1" bestFit="1"/>
    <col min="16" max="16" style="37" width="17.719285714285714" customWidth="1" bestFit="1"/>
    <col min="17" max="17" style="37" width="15.719285714285713" customWidth="1" bestFit="1"/>
    <col min="18" max="18" style="37" width="16.862142857142857" customWidth="1" bestFit="1"/>
    <col min="19" max="19" style="37" width="11.576428571428572" customWidth="1" bestFit="1"/>
    <col min="20" max="20" style="141" width="5.719285714285714" customWidth="1" bestFit="1"/>
    <col min="21" max="21" style="37" width="18.862142857142857" customWidth="1" bestFit="1"/>
    <col min="22" max="22" style="37" width="20.005" customWidth="1" bestFit="1"/>
    <col min="23" max="23" style="37" width="23.433571428571426" customWidth="1" bestFit="1"/>
    <col min="24" max="24" style="11" width="9.147857142857141" customWidth="1" bestFit="1"/>
    <col min="25" max="25" style="11" width="9.147857142857141" customWidth="1" bestFit="1"/>
    <col min="26" max="26" style="11" width="9.147857142857141" customWidth="1" bestFit="1"/>
    <col min="27" max="27" style="11" width="9.147857142857141" customWidth="1" bestFit="1"/>
    <col min="28" max="28" style="11" width="9.147857142857141" customWidth="1" bestFit="1"/>
    <col min="29" max="29" style="11" width="9.147857142857141" customWidth="1" bestFit="1"/>
    <col min="30" max="30" style="11" width="9.147857142857141" customWidth="1" bestFit="1"/>
    <col min="31" max="31" style="11" width="9.147857142857141" customWidth="1" bestFit="1"/>
    <col min="32" max="32" style="11" width="9.147857142857141" customWidth="1" bestFit="1"/>
    <col min="33" max="33" style="11" width="9.147857142857141" customWidth="1" bestFit="1"/>
    <col min="34" max="34" style="11" width="9.147857142857141" customWidth="1" bestFit="1"/>
    <col min="35" max="35" style="11" width="9.147857142857141" customWidth="1" bestFit="1"/>
    <col min="36" max="36" style="11" width="9.147857142857141" customWidth="1" bestFit="1"/>
    <col min="37" max="37" style="11" width="9.147857142857141" customWidth="1" bestFit="1"/>
    <col min="38" max="38" style="11" width="9.147857142857141" customWidth="1" bestFit="1"/>
    <col min="39" max="39" style="11" width="13.576428571428572" customWidth="1" bestFit="1"/>
    <col min="40" max="40" style="11" width="13.576428571428572" customWidth="1" bestFit="1"/>
    <col min="41" max="41" style="11" width="13.576428571428572" customWidth="1" bestFit="1"/>
    <col min="42" max="42" style="11" width="13.576428571428572" customWidth="1" bestFit="1"/>
    <col min="43" max="43" style="11" width="13.576428571428572" customWidth="1" bestFit="1"/>
  </cols>
  <sheetData>
    <row x14ac:dyDescent="0.25" r="1" customHeight="1" ht="41.25">
      <c r="A1" s="40"/>
      <c r="B1" s="71" t="s">
        <v>48</v>
      </c>
      <c r="C1" s="72"/>
      <c r="D1" s="72"/>
      <c r="E1" s="72"/>
      <c r="F1" s="73">
        <v>6000</v>
      </c>
      <c r="G1" s="73"/>
      <c r="H1" s="40"/>
      <c r="I1" s="71" t="s">
        <v>10</v>
      </c>
      <c r="J1" s="72"/>
      <c r="K1" s="72"/>
      <c r="L1" s="72"/>
      <c r="M1" s="73">
        <v>15000</v>
      </c>
      <c r="N1" s="73"/>
      <c r="O1" s="74">
        <v>5</v>
      </c>
      <c r="P1" s="71" t="s">
        <v>49</v>
      </c>
      <c r="Q1" s="71"/>
      <c r="R1" s="71"/>
      <c r="S1" s="71"/>
      <c r="T1" s="71"/>
      <c r="U1" s="71"/>
      <c r="V1" s="73">
        <v>20000</v>
      </c>
      <c r="W1" s="73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</row>
    <row x14ac:dyDescent="0.25" r="2" customHeight="1" ht="18.75">
      <c r="A2" s="40"/>
      <c r="B2" s="3"/>
      <c r="C2" s="3"/>
      <c r="D2" s="40"/>
      <c r="E2" s="3"/>
      <c r="F2" s="3"/>
      <c r="G2" s="3"/>
      <c r="H2" s="40"/>
      <c r="I2" s="32"/>
      <c r="J2" s="32"/>
      <c r="K2" s="33"/>
      <c r="L2" s="32"/>
      <c r="M2" s="32"/>
      <c r="N2" s="32"/>
      <c r="O2" s="40"/>
      <c r="P2" s="32"/>
      <c r="Q2" s="32"/>
      <c r="R2" s="32"/>
      <c r="S2" s="32"/>
      <c r="T2" s="75"/>
      <c r="U2" s="32"/>
      <c r="V2" s="32"/>
      <c r="W2" s="3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x14ac:dyDescent="0.25" r="3" customHeight="1" ht="27.75">
      <c r="A3" s="74">
        <v>5</v>
      </c>
      <c r="B3" s="76" t="s">
        <v>50</v>
      </c>
      <c r="C3" s="76"/>
      <c r="D3" s="77"/>
      <c r="E3" s="76"/>
      <c r="F3" s="76"/>
      <c r="G3" s="78">
        <f>F1/3</f>
      </c>
      <c r="H3" s="74">
        <v>5</v>
      </c>
      <c r="I3" s="79" t="s">
        <v>50</v>
      </c>
      <c r="J3" s="80"/>
      <c r="K3" s="81"/>
      <c r="L3" s="80"/>
      <c r="M3" s="80"/>
      <c r="N3" s="82">
        <f>M1/4</f>
      </c>
      <c r="O3" s="40"/>
      <c r="P3" s="83" t="s">
        <v>50</v>
      </c>
      <c r="Q3" s="84"/>
      <c r="R3" s="84"/>
      <c r="S3" s="84"/>
      <c r="T3" s="84"/>
      <c r="U3" s="84"/>
      <c r="V3" s="84"/>
      <c r="W3" s="85">
        <f>V1/5</f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8"/>
      <c r="AN3" s="8"/>
      <c r="AO3" s="8"/>
      <c r="AP3" s="8"/>
      <c r="AQ3" s="8"/>
    </row>
    <row x14ac:dyDescent="0.25" r="4" customHeight="1" ht="18.75">
      <c r="A4" s="40"/>
      <c r="B4" s="86" t="s">
        <v>51</v>
      </c>
      <c r="C4" s="86" t="s">
        <v>52</v>
      </c>
      <c r="D4" s="87" t="s">
        <v>53</v>
      </c>
      <c r="E4" s="86" t="s">
        <v>54</v>
      </c>
      <c r="F4" s="86" t="s">
        <v>55</v>
      </c>
      <c r="G4" s="86" t="s">
        <v>56</v>
      </c>
      <c r="H4" s="40"/>
      <c r="I4" s="88" t="s">
        <v>51</v>
      </c>
      <c r="J4" s="89" t="s">
        <v>52</v>
      </c>
      <c r="K4" s="90" t="s">
        <v>53</v>
      </c>
      <c r="L4" s="89" t="s">
        <v>54</v>
      </c>
      <c r="M4" s="89" t="s">
        <v>55</v>
      </c>
      <c r="N4" s="91" t="s">
        <v>56</v>
      </c>
      <c r="O4" s="40"/>
      <c r="P4" s="92" t="s">
        <v>51</v>
      </c>
      <c r="Q4" s="93" t="s">
        <v>57</v>
      </c>
      <c r="R4" s="93" t="s">
        <v>58</v>
      </c>
      <c r="S4" s="93" t="s">
        <v>52</v>
      </c>
      <c r="T4" s="94" t="s">
        <v>53</v>
      </c>
      <c r="U4" s="93" t="s">
        <v>54</v>
      </c>
      <c r="V4" s="93" t="s">
        <v>55</v>
      </c>
      <c r="W4" s="95" t="s">
        <v>56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8"/>
      <c r="AN4" s="8"/>
      <c r="AO4" s="8"/>
      <c r="AP4" s="8"/>
      <c r="AQ4" s="8"/>
    </row>
    <row x14ac:dyDescent="0.25" r="5" customHeight="1" ht="19.5">
      <c r="A5" s="40"/>
      <c r="B5" s="96">
        <f>SUMIF('FEV 2025'!I2:I9044,"KARINNA",'FEV 2025'!H2:H9044)</f>
      </c>
      <c r="C5" s="96">
        <f>SUMPRODUCT(('FEV 2025'!I2:I9000="KARINNA")*('FEV 2025'!G2:G9000="CORTESIA")*('FEV 2025'!D2:D9000)*('FEV 2025'!F2:F9000))</f>
      </c>
      <c r="D5" s="66">
        <f>SUMIF('FEV 2025'!I2:I9044,"KARINNA",'FEV 2025'!D2:D9044)</f>
      </c>
      <c r="E5" s="96">
        <f>SUMIFS('FEV 2025'!H2:H9000, 'FEV 2025'!I2:I9000, "KARINNA", 'FEV 2025'!G2:G9000, "PAGO")</f>
      </c>
      <c r="F5" s="96">
        <f>SUMIFS('FEV 2025'!H2:H9000, 'FEV 2025'!I2:I9000, "KARINNA", 'FEV 2025'!G2:G9000, "NÃO RECEBIDO")</f>
      </c>
      <c r="G5" s="96">
        <f>B5-G3</f>
      </c>
      <c r="H5" s="40"/>
      <c r="I5" s="96">
        <f>SUMIF('MAR 2025'!I2:I8991,"KARINNA",'MAR 2025'!H2:H8991)</f>
      </c>
      <c r="J5" s="96">
        <f>SUMPRODUCT(('MAR 2025'!I2:I8991="KARINNA")*('MAR 2025'!G2:G8991="CORTESIA")*('MAR 2025'!D2:D8991)*('MAR 2025'!F2:F8991))</f>
      </c>
      <c r="K5" s="66">
        <f>SUMIF('MAR 2025'!I2:I8992,"KARINNA",'MAR 2025'!D2:D8992)</f>
      </c>
      <c r="L5" s="96">
        <f>SUMIFS('MAR 2025'!H2:H9001, 'MAR 2025'!I2:I9001, "KARINNA", 'MAR 2025'!G2:G9001, "PAGO")</f>
      </c>
      <c r="M5" s="96">
        <f>SUMIFS('MAR 2025'!H2:H8992, 'MAR 2025'!I2:I8992, "KARINNA", 'MAR 2025'!G2:G8992, "NÃO RECEBIDO")</f>
      </c>
      <c r="N5" s="96">
        <f>I5-N3</f>
      </c>
      <c r="O5" s="40"/>
      <c r="P5" s="96">
        <f>SUMIF('ABRIL 2025'!K:K,"KARINNA",'ABRIL 2025'!H:H)</f>
      </c>
      <c r="Q5" s="96">
        <f>SUMIF('ABRIL 2025'!K:K,"KARINNA",'ABRIL 2025'!I:I)</f>
      </c>
      <c r="R5" s="96">
        <f>SUMIF('ABRIL 2025'!K:K,"KARINNA",'ABRIL 2025'!J:J)</f>
      </c>
      <c r="S5" s="96">
        <f>SUMPRODUCT(('ABRIL 2025'!K2:K1000="KARINNA")*('ABRIL 2025'!G2:G1000="CORTESIA")*('ABRIL 2025'!D2:D1000)*('ABRIL 2025'!F2:F1000))</f>
      </c>
      <c r="T5" s="97">
        <f>SUMIF('MAR 2025'!P2:P8992,"KARINNA",'MAR 2025'!K2:K8992)</f>
      </c>
      <c r="U5" s="96">
        <f>SUMIFS('MAR 2025'!O2:O9001, 'MAR 2025'!P2:P9001, "KARINNA", 'MAR 2025'!N2:N9001, "PAGO")</f>
      </c>
      <c r="V5" s="96">
        <f>SUMIFS('MAR 2025'!O2:O8992, 'MAR 2025'!P2:P8992, "KARINNA", 'MAR 2025'!N2:N8992, "NÃO RECEBIDO")</f>
      </c>
      <c r="W5" s="96">
        <f>P5-W3</f>
      </c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8"/>
      <c r="AN5" s="8"/>
      <c r="AO5" s="8"/>
      <c r="AP5" s="8"/>
      <c r="AQ5" s="8"/>
    </row>
    <row x14ac:dyDescent="0.25" r="6" customHeight="1" ht="18.75">
      <c r="A6" s="40"/>
      <c r="B6" s="3"/>
      <c r="C6" s="3"/>
      <c r="D6" s="40"/>
      <c r="E6" s="3"/>
      <c r="F6" s="3"/>
      <c r="G6" s="3"/>
      <c r="H6" s="40"/>
      <c r="I6" s="32"/>
      <c r="J6" s="32"/>
      <c r="K6" s="33"/>
      <c r="L6" s="32"/>
      <c r="M6" s="32"/>
      <c r="N6" s="32"/>
      <c r="O6" s="40"/>
      <c r="P6" s="32"/>
      <c r="Q6" s="32"/>
      <c r="R6" s="32"/>
      <c r="S6" s="32"/>
      <c r="T6" s="75"/>
      <c r="U6" s="32"/>
      <c r="V6" s="32"/>
      <c r="W6" s="32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x14ac:dyDescent="0.25" r="7" customHeight="1" ht="27.75">
      <c r="A7" s="40"/>
      <c r="B7" s="98" t="s">
        <v>59</v>
      </c>
      <c r="C7" s="98"/>
      <c r="D7" s="99"/>
      <c r="E7" s="98"/>
      <c r="F7" s="98"/>
      <c r="G7" s="100">
        <f>F1/3</f>
      </c>
      <c r="H7" s="40"/>
      <c r="I7" s="101" t="s">
        <v>59</v>
      </c>
      <c r="J7" s="102"/>
      <c r="K7" s="103"/>
      <c r="L7" s="102"/>
      <c r="M7" s="102"/>
      <c r="N7" s="104">
        <f>M1/4</f>
      </c>
      <c r="O7" s="40"/>
      <c r="P7" s="101" t="s">
        <v>59</v>
      </c>
      <c r="Q7" s="102"/>
      <c r="R7" s="102"/>
      <c r="S7" s="102"/>
      <c r="T7" s="102"/>
      <c r="U7" s="102"/>
      <c r="V7" s="102"/>
      <c r="W7" s="104">
        <f>V1/5</f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8"/>
      <c r="AN7" s="8"/>
      <c r="AO7" s="8"/>
      <c r="AP7" s="8"/>
      <c r="AQ7" s="8"/>
    </row>
    <row x14ac:dyDescent="0.25" r="8" customHeight="1" ht="18.75">
      <c r="A8" s="40"/>
      <c r="B8" s="105" t="s">
        <v>51</v>
      </c>
      <c r="C8" s="105" t="s">
        <v>52</v>
      </c>
      <c r="D8" s="106" t="s">
        <v>53</v>
      </c>
      <c r="E8" s="105" t="s">
        <v>54</v>
      </c>
      <c r="F8" s="105" t="s">
        <v>55</v>
      </c>
      <c r="G8" s="105" t="s">
        <v>56</v>
      </c>
      <c r="H8" s="40"/>
      <c r="I8" s="107" t="s">
        <v>51</v>
      </c>
      <c r="J8" s="105" t="s">
        <v>52</v>
      </c>
      <c r="K8" s="106" t="s">
        <v>53</v>
      </c>
      <c r="L8" s="105" t="s">
        <v>54</v>
      </c>
      <c r="M8" s="105" t="s">
        <v>55</v>
      </c>
      <c r="N8" s="108" t="s">
        <v>56</v>
      </c>
      <c r="O8" s="40"/>
      <c r="P8" s="107" t="s">
        <v>51</v>
      </c>
      <c r="Q8" s="105" t="s">
        <v>57</v>
      </c>
      <c r="R8" s="105" t="s">
        <v>58</v>
      </c>
      <c r="S8" s="105" t="s">
        <v>52</v>
      </c>
      <c r="T8" s="109" t="s">
        <v>53</v>
      </c>
      <c r="U8" s="105" t="s">
        <v>54</v>
      </c>
      <c r="V8" s="105" t="s">
        <v>55</v>
      </c>
      <c r="W8" s="108" t="s">
        <v>56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8"/>
      <c r="AN8" s="8"/>
      <c r="AO8" s="8"/>
      <c r="AP8" s="8"/>
      <c r="AQ8" s="8"/>
    </row>
    <row x14ac:dyDescent="0.25" r="9" customHeight="1" ht="19.5">
      <c r="A9" s="40"/>
      <c r="B9" s="96">
        <f>SUMIF('FEV 2025'!I2:I9044,"JULIO",'FEV 2025'!H2:H9044)</f>
      </c>
      <c r="C9" s="96">
        <f>SUMPRODUCT(('FEV 2025'!I2:I9000="JULIO")*('FEV 2025'!G2:G9000="CORTESIA")*('FEV 2025'!D2:D9000)*('FEV 2025'!F2:F9000))</f>
      </c>
      <c r="D9" s="66">
        <f>SUMIF('FEV 2025'!I2:I9044,"JULIO",'FEV 2025'!D2:D9044)</f>
      </c>
      <c r="E9" s="96">
        <f>SUMIFS('FEV 2025'!H2:H9000, 'FEV 2025'!I2:I9000, "JULIO", 'FEV 2025'!G2:G9000, "PAGO")</f>
      </c>
      <c r="F9" s="96">
        <f>SUMIFS('FEV 2025'!H2:H9000, 'FEV 2025'!I2:I9000, "JULIO", 'FEV 2025'!G2:G9000, "NÃO RECEBIDO")</f>
      </c>
      <c r="G9" s="96">
        <f>B9-G7</f>
      </c>
      <c r="H9" s="40"/>
      <c r="I9" s="96">
        <f>SUMIF('MAR 2025'!I2:I8991,"JULIO",'MAR 2025'!H2:H8991)</f>
      </c>
      <c r="J9" s="96">
        <f>SUMPRODUCT(('MAR 2025'!I2:I8991="JULIO")*('MAR 2025'!G2:G8991="CORTESIA")*('MAR 2025'!D2:D8991)*('MAR 2025'!F2:F8991))</f>
      </c>
      <c r="K9" s="66">
        <f>SUMIF('MAR 2025'!I2:I8992,"JULIO",'MAR 2025'!D2:D8992)</f>
      </c>
      <c r="L9" s="96">
        <f>SUMIFS('MAR 2025'!H2:H9001, 'MAR 2025'!I2:I9001, "JULIO", 'MAR 2025'!G2:G9001, "PAGO")</f>
      </c>
      <c r="M9" s="96">
        <f>SUMIFS('MAR 2025'!H2:H8992, 'MAR 2025'!I2:I8992, "JULIO", 'MAR 2025'!G2:G8992, "NÃO RECEBIDO")</f>
      </c>
      <c r="N9" s="96">
        <f>I9-N7</f>
      </c>
      <c r="O9" s="40"/>
      <c r="P9" s="96">
        <f>SUMIF('ABRIL 2025'!K:K,"JULIO",'ABRIL 2025'!H:H)</f>
      </c>
      <c r="Q9" s="96">
        <f>SUMIF('ABRIL 2025'!K:K,"JULIO",'ABRIL 2025'!I:I)</f>
      </c>
      <c r="R9" s="96">
        <f>SUMIF('ABRIL 2025'!K:K,"JULIO",'ABRIL 2025'!J:J)</f>
      </c>
      <c r="S9" s="96">
        <f>SUMPRODUCT(('ABRIL 2025'!K2:K1000="JULIO")*('ABRIL 2025'!G2:G1000="CORTESIA")*('ABRIL 2025'!D2:D1000)*('ABRIL 2025'!F2:F1000))</f>
      </c>
      <c r="T9" s="97">
        <f>SUMIF('MAR 2025'!P2:P8992,"JULIO",'MAR 2025'!K2:K8992)</f>
      </c>
      <c r="U9" s="96">
        <f>SUMIFS('MAR 2025'!O2:O9001, 'MAR 2025'!P2:P9001, "JULIO", 'MAR 2025'!N2:N9001, "PAGO")</f>
      </c>
      <c r="V9" s="96">
        <f>SUMIFS('MAR 2025'!O2:O8992, 'MAR 2025'!P2:P8992, "JULIO", 'MAR 2025'!N2:N8992, "NÃO RECEBIDO")</f>
      </c>
      <c r="W9" s="96">
        <f>P9-W7</f>
      </c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8"/>
      <c r="AN9" s="8"/>
      <c r="AO9" s="8"/>
      <c r="AP9" s="8"/>
      <c r="AQ9" s="8"/>
    </row>
    <row x14ac:dyDescent="0.25" r="10" customHeight="1" ht="18.75">
      <c r="A10" s="40"/>
      <c r="B10" s="3"/>
      <c r="C10" s="3"/>
      <c r="D10" s="40"/>
      <c r="E10" s="3"/>
      <c r="F10" s="3"/>
      <c r="G10" s="3"/>
      <c r="H10" s="40"/>
      <c r="I10" s="32"/>
      <c r="J10" s="32"/>
      <c r="K10" s="33"/>
      <c r="L10" s="32"/>
      <c r="M10" s="32"/>
      <c r="N10" s="32"/>
      <c r="O10" s="40"/>
      <c r="P10" s="32"/>
      <c r="Q10" s="32"/>
      <c r="R10" s="32"/>
      <c r="S10" s="32"/>
      <c r="T10" s="75"/>
      <c r="U10" s="32"/>
      <c r="V10" s="32"/>
      <c r="W10" s="32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</row>
    <row x14ac:dyDescent="0.25" r="11" customHeight="1" ht="27.75">
      <c r="A11" s="40"/>
      <c r="B11" s="110" t="s">
        <v>22</v>
      </c>
      <c r="C11" s="110"/>
      <c r="D11" s="111"/>
      <c r="E11" s="110"/>
      <c r="F11" s="110"/>
      <c r="G11" s="112">
        <f>F1/3</f>
      </c>
      <c r="H11" s="40"/>
      <c r="I11" s="113" t="s">
        <v>22</v>
      </c>
      <c r="J11" s="114"/>
      <c r="K11" s="115"/>
      <c r="L11" s="114"/>
      <c r="M11" s="114"/>
      <c r="N11" s="116">
        <f>M1/4</f>
      </c>
      <c r="O11" s="40"/>
      <c r="P11" s="113" t="s">
        <v>22</v>
      </c>
      <c r="Q11" s="114"/>
      <c r="R11" s="114"/>
      <c r="S11" s="114"/>
      <c r="T11" s="114"/>
      <c r="U11" s="114"/>
      <c r="V11" s="114"/>
      <c r="W11" s="116">
        <f>V1/5</f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8"/>
      <c r="AN11" s="8"/>
      <c r="AO11" s="8"/>
      <c r="AP11" s="8"/>
      <c r="AQ11" s="8"/>
    </row>
    <row x14ac:dyDescent="0.25" r="12" customHeight="1" ht="18.75">
      <c r="A12" s="40"/>
      <c r="B12" s="117" t="s">
        <v>51</v>
      </c>
      <c r="C12" s="117" t="s">
        <v>52</v>
      </c>
      <c r="D12" s="118" t="s">
        <v>53</v>
      </c>
      <c r="E12" s="117" t="s">
        <v>54</v>
      </c>
      <c r="F12" s="117" t="s">
        <v>55</v>
      </c>
      <c r="G12" s="117" t="s">
        <v>56</v>
      </c>
      <c r="H12" s="40"/>
      <c r="I12" s="119" t="s">
        <v>51</v>
      </c>
      <c r="J12" s="120" t="s">
        <v>52</v>
      </c>
      <c r="K12" s="121" t="s">
        <v>53</v>
      </c>
      <c r="L12" s="120" t="s">
        <v>54</v>
      </c>
      <c r="M12" s="120" t="s">
        <v>55</v>
      </c>
      <c r="N12" s="122" t="s">
        <v>56</v>
      </c>
      <c r="O12" s="40"/>
      <c r="P12" s="119" t="s">
        <v>51</v>
      </c>
      <c r="Q12" s="120" t="s">
        <v>57</v>
      </c>
      <c r="R12" s="120" t="s">
        <v>58</v>
      </c>
      <c r="S12" s="120" t="s">
        <v>52</v>
      </c>
      <c r="T12" s="123" t="s">
        <v>53</v>
      </c>
      <c r="U12" s="120" t="s">
        <v>54</v>
      </c>
      <c r="V12" s="120" t="s">
        <v>55</v>
      </c>
      <c r="W12" s="122" t="s">
        <v>56</v>
      </c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8"/>
      <c r="AN12" s="8"/>
      <c r="AO12" s="8"/>
      <c r="AP12" s="8"/>
      <c r="AQ12" s="8"/>
    </row>
    <row x14ac:dyDescent="0.25" r="13" customHeight="1" ht="19.5">
      <c r="A13" s="40"/>
      <c r="B13" s="96">
        <f>SUMIF('FEV 2025'!I2:I9044,"GUILHERME",'FEV 2025'!H2:H9044)</f>
      </c>
      <c r="C13" s="96">
        <f>SUMPRODUCT(('FEV 2025'!I2:I9000="GUILHERME")*('FEV 2025'!G2:G9000="CORTESIA")*('FEV 2025'!D2:D9000)*('FEV 2025'!F2:F9000))</f>
      </c>
      <c r="D13" s="66">
        <f>SUMIF('FEV 2025'!I2:I9044,"GUILHERME",'FEV 2025'!D2:D9044)</f>
      </c>
      <c r="E13" s="96">
        <f>SUMIFS('FEV 2025'!H2:H9000, 'FEV 2025'!I2:I9000, "GUILHERME", 'FEV 2025'!G2:G9000, "PAGO")</f>
      </c>
      <c r="F13" s="96">
        <f>SUMIFS('FEV 2025'!H2:H9000, 'FEV 2025'!I2:I9000, "GUILHERME", 'FEV 2025'!G2:G9000, "NÃO RECEBIDO")</f>
      </c>
      <c r="G13" s="96">
        <f>B13-G11</f>
      </c>
      <c r="H13" s="40"/>
      <c r="I13" s="96">
        <f>SUMIF('MAR 2025'!I2:I900,"GUILHERME",'MAR 2025'!H2:H900)</f>
      </c>
      <c r="J13" s="96">
        <f>SUMPRODUCT(('MAR 2025'!I2:I8991="GUILHERME")*('MAR 2025'!G2:G8991="CORTESIA")*('MAR 2025'!D2:D8991)*('MAR 2025'!F2:F8991))</f>
      </c>
      <c r="K13" s="66">
        <f>SUMIF('MAR 2025'!I2:I8992,"GUILHERME",'MAR 2025'!D2:D8992)</f>
      </c>
      <c r="L13" s="96">
        <f>SUMIFS('MAR 2025'!H2:H9001, 'MAR 2025'!I2:I9001, "GUILHERME", 'MAR 2025'!G2:G9001, "PAGO")</f>
      </c>
      <c r="M13" s="96">
        <f>SUMIFS('MAR 2025'!H2:H8992, 'MAR 2025'!I2:I8992, "GUILHERME", 'MAR 2025'!G2:G8992, "NÃO RECEBIDO")</f>
      </c>
      <c r="N13" s="96">
        <f>I13-N11</f>
      </c>
      <c r="O13" s="40"/>
      <c r="P13" s="96">
        <f>SUMIF('ABRIL 2025'!K:K,"GUILHERME",'ABRIL 2025'!H:H)</f>
      </c>
      <c r="Q13" s="96">
        <f>SUMIF('ABRIL 2025'!K:K,"GUILHERME",'ABRIL 2025'!I:I)</f>
      </c>
      <c r="R13" s="96">
        <f>SUMIF('ABRIL 2025'!K:K,"GUILHERME",'ABRIL 2025'!J:J)</f>
      </c>
      <c r="S13" s="96">
        <f>SUMPRODUCT(('ABRIL 2025'!K2:K1000="GUILHERME")*('ABRIL 2025'!G2:G1000="CORTESIA")*('ABRIL 2025'!D2:D1000)*('ABRIL 2025'!F2:F1000))</f>
      </c>
      <c r="T13" s="97">
        <f>SUMIF('ABRIL 2025'!K2:K1000,"GUILHERME",'ABRIL 2025'!D2:D1000)</f>
      </c>
      <c r="U13" s="96">
        <f>SUMIFS('ABRIL 2025'!H2:H1000, 'ABRIL 2025'!K2:K1000, "GUILHERME", 'ABRIL 2025'!G2:G1000, "PAGO")</f>
      </c>
      <c r="V13" s="96">
        <f>SUMIFS('ABRIL 2025'!H2:H1000, 'ABRIL 2025'!K2:K1000, "GUILHERME", 'ABRIL 2025'!G2:G1000, "NÃO RECEBIDO")</f>
      </c>
      <c r="W13" s="96">
        <f>P13-W11</f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8"/>
      <c r="AN13" s="8"/>
      <c r="AO13" s="8"/>
      <c r="AP13" s="8"/>
      <c r="AQ13" s="8"/>
    </row>
    <row x14ac:dyDescent="0.25" r="14" customHeight="1" ht="18.75">
      <c r="A14" s="40"/>
      <c r="B14" s="3"/>
      <c r="C14" s="3"/>
      <c r="D14" s="40"/>
      <c r="E14" s="3"/>
      <c r="F14" s="3"/>
      <c r="G14" s="3"/>
      <c r="H14" s="40"/>
      <c r="I14" s="32"/>
      <c r="J14" s="32"/>
      <c r="K14" s="33"/>
      <c r="L14" s="32"/>
      <c r="M14" s="32"/>
      <c r="N14" s="32"/>
      <c r="O14" s="40"/>
      <c r="P14" s="32"/>
      <c r="Q14" s="32"/>
      <c r="R14" s="32"/>
      <c r="S14" s="32"/>
      <c r="T14" s="75"/>
      <c r="U14" s="32"/>
      <c r="V14" s="32"/>
      <c r="W14" s="32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</row>
    <row x14ac:dyDescent="0.25" r="15" customHeight="1" ht="18.75">
      <c r="A15" s="40"/>
      <c r="B15" s="124" t="s">
        <v>5</v>
      </c>
      <c r="C15" s="125"/>
      <c r="D15" s="126"/>
      <c r="E15" s="125"/>
      <c r="F15" s="125"/>
      <c r="G15" s="125"/>
      <c r="H15" s="40"/>
      <c r="I15" s="3"/>
      <c r="J15" s="3"/>
      <c r="K15" s="40"/>
      <c r="L15" s="3"/>
      <c r="M15" s="3"/>
      <c r="N15" s="3"/>
      <c r="O15" s="40"/>
      <c r="P15" s="17"/>
      <c r="Q15" s="17"/>
      <c r="R15" s="17"/>
      <c r="S15" s="17"/>
      <c r="T15" s="127"/>
      <c r="U15" s="17"/>
      <c r="V15" s="17"/>
      <c r="W15" s="17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8"/>
      <c r="AN15" s="8"/>
      <c r="AO15" s="8"/>
      <c r="AP15" s="8"/>
      <c r="AQ15" s="8"/>
    </row>
    <row x14ac:dyDescent="0.25" r="16" customHeight="1" ht="27.75">
      <c r="A16" s="40"/>
      <c r="B16" s="128" t="s">
        <v>51</v>
      </c>
      <c r="C16" s="128" t="s">
        <v>52</v>
      </c>
      <c r="D16" s="129" t="s">
        <v>53</v>
      </c>
      <c r="E16" s="128" t="s">
        <v>54</v>
      </c>
      <c r="F16" s="128" t="s">
        <v>55</v>
      </c>
      <c r="G16" s="128" t="s">
        <v>60</v>
      </c>
      <c r="H16" s="40"/>
      <c r="I16" s="130" t="s">
        <v>19</v>
      </c>
      <c r="J16" s="131"/>
      <c r="K16" s="132"/>
      <c r="L16" s="131"/>
      <c r="M16" s="131"/>
      <c r="N16" s="133">
        <f>M1/4</f>
      </c>
      <c r="O16" s="40"/>
      <c r="P16" s="130" t="s">
        <v>19</v>
      </c>
      <c r="Q16" s="131"/>
      <c r="R16" s="131"/>
      <c r="S16" s="131"/>
      <c r="T16" s="131"/>
      <c r="U16" s="131"/>
      <c r="V16" s="131"/>
      <c r="W16" s="133">
        <f>V1/5</f>
      </c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8"/>
      <c r="AN16" s="8"/>
      <c r="AO16" s="8"/>
      <c r="AP16" s="8"/>
      <c r="AQ16" s="8"/>
    </row>
    <row x14ac:dyDescent="0.25" r="17" customHeight="1" ht="19.5">
      <c r="A17" s="40"/>
      <c r="B17" s="96">
        <f>B5+B9+B13</f>
      </c>
      <c r="C17" s="96">
        <f>C5+C9+C13</f>
      </c>
      <c r="D17" s="66">
        <f>D5+D9+D13</f>
      </c>
      <c r="E17" s="96">
        <f>E5+E9+E13</f>
      </c>
      <c r="F17" s="96">
        <f>F5+F9+F13</f>
      </c>
      <c r="G17" s="96">
        <f>G13+G9+G5</f>
      </c>
      <c r="H17" s="40"/>
      <c r="I17" s="134" t="s">
        <v>51</v>
      </c>
      <c r="J17" s="135" t="s">
        <v>52</v>
      </c>
      <c r="K17" s="136" t="s">
        <v>53</v>
      </c>
      <c r="L17" s="135" t="s">
        <v>54</v>
      </c>
      <c r="M17" s="135" t="s">
        <v>55</v>
      </c>
      <c r="N17" s="137" t="s">
        <v>56</v>
      </c>
      <c r="O17" s="40"/>
      <c r="P17" s="134" t="s">
        <v>51</v>
      </c>
      <c r="Q17" s="135" t="s">
        <v>57</v>
      </c>
      <c r="R17" s="135" t="s">
        <v>58</v>
      </c>
      <c r="S17" s="135" t="s">
        <v>52</v>
      </c>
      <c r="T17" s="138" t="s">
        <v>53</v>
      </c>
      <c r="U17" s="135" t="s">
        <v>54</v>
      </c>
      <c r="V17" s="135" t="s">
        <v>55</v>
      </c>
      <c r="W17" s="137" t="s">
        <v>56</v>
      </c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8"/>
      <c r="AN17" s="8"/>
      <c r="AO17" s="8"/>
      <c r="AP17" s="8"/>
      <c r="AQ17" s="8"/>
    </row>
    <row x14ac:dyDescent="0.25" r="18" customHeight="1" ht="19.5">
      <c r="A18" s="40"/>
      <c r="B18" s="3"/>
      <c r="C18" s="3"/>
      <c r="D18" s="40"/>
      <c r="E18" s="3"/>
      <c r="F18" s="3"/>
      <c r="G18" s="3"/>
      <c r="H18" s="40"/>
      <c r="I18" s="96">
        <f>SUMIF('MAR 2025'!I2:I8996,"ISADORA",'MAR 2025'!H2:H8996)</f>
      </c>
      <c r="J18" s="96">
        <f>SUMPRODUCT(('MAR 2025'!I2:I8996="ISADORA")*('MAR 2025'!G2:G8996="CORTESIA")*('MAR 2025'!D2:D8996)*('MAR 2025'!F2:F8996))</f>
      </c>
      <c r="K18" s="66">
        <f>SUMIF('MAR 2025'!I2:I8997,"ISADORA",'MAR 2025'!D2:D8997)</f>
      </c>
      <c r="L18" s="96">
        <f>SUMIFS('MAR 2025'!H2:H9001, 'MAR 2025'!I2:I9001, "ISADORA", 'MAR 2025'!G2:G9001, "PAGO")</f>
      </c>
      <c r="M18" s="96">
        <f>SUMIFS('MAR 2025'!H2:H8997, 'MAR 2025'!I2:I8997, "ISADORA", 'MAR 2025'!G2:G8997, "NÃO RECEBIDO")</f>
      </c>
      <c r="N18" s="96">
        <f>I18-N16</f>
      </c>
      <c r="O18" s="40"/>
      <c r="P18" s="96">
        <f>SUMIF('ABRIL 2025'!K:K,"ISADORA",'ABRIL 2025'!H:H)</f>
      </c>
      <c r="Q18" s="96">
        <f>SUMIF('ABRIL 2025'!K:K,"ISADORA",'ABRIL 2025'!I:I)</f>
      </c>
      <c r="R18" s="96">
        <f>SUMIF('ABRIL 2025'!K:K,"ISADORA",'ABRIL 2025'!J:J)</f>
      </c>
      <c r="S18" s="96">
        <f>SUMPRODUCT(('ABRIL 2025'!K2:K1000="ISADORA")*('ABRIL 2025'!G2:G1000="CORTESIA")*('ABRIL 2025'!D2:D1000)*('ABRIL 2025'!F2:F1000))</f>
      </c>
      <c r="T18" s="97">
        <f>SUMIF('MAR 2025'!P2:P8997,"ISADORA",'MAR 2025'!K2:K8997)</f>
      </c>
      <c r="U18" s="96">
        <f>SUMIFS('MAR 2025'!O2:O9001, 'MAR 2025'!P2:P9001, "ISADORA", 'MAR 2025'!N2:N9001, "PAGO")</f>
      </c>
      <c r="V18" s="96">
        <f>SUMIFS('MAR 2025'!O2:O8997, 'MAR 2025'!P2:P8997, "ISADORA", 'MAR 2025'!N2:N8997, "NÃO RECEBIDO")</f>
      </c>
      <c r="W18" s="96">
        <f>P18-W16</f>
      </c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x14ac:dyDescent="0.25" r="19" customHeight="1" ht="18.75">
      <c r="A19" s="40"/>
      <c r="B19" s="3"/>
      <c r="C19" s="3"/>
      <c r="D19" s="40"/>
      <c r="E19" s="3"/>
      <c r="F19" s="3"/>
      <c r="G19" s="3"/>
      <c r="H19" s="40"/>
      <c r="I19" s="32"/>
      <c r="J19" s="32"/>
      <c r="K19" s="33"/>
      <c r="L19" s="32"/>
      <c r="M19" s="32"/>
      <c r="N19" s="32"/>
      <c r="O19" s="40"/>
      <c r="P19" s="32"/>
      <c r="Q19" s="32"/>
      <c r="R19" s="32"/>
      <c r="S19" s="32"/>
      <c r="T19" s="75"/>
      <c r="U19" s="32"/>
      <c r="V19" s="32"/>
      <c r="W19" s="32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x14ac:dyDescent="0.25" r="20" customHeight="1" ht="27.75">
      <c r="A20" s="40"/>
      <c r="B20" s="3"/>
      <c r="C20" s="3"/>
      <c r="D20" s="40"/>
      <c r="E20" s="3"/>
      <c r="F20" s="3"/>
      <c r="G20" s="3"/>
      <c r="H20" s="40"/>
      <c r="I20" s="3"/>
      <c r="J20" s="3"/>
      <c r="K20" s="40"/>
      <c r="L20" s="3"/>
      <c r="M20" s="3"/>
      <c r="N20" s="3"/>
      <c r="O20" s="40"/>
      <c r="P20" s="79" t="s">
        <v>21</v>
      </c>
      <c r="Q20" s="80"/>
      <c r="R20" s="80"/>
      <c r="S20" s="80"/>
      <c r="T20" s="80"/>
      <c r="U20" s="80"/>
      <c r="V20" s="80"/>
      <c r="W20" s="82">
        <f>V1/5</f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x14ac:dyDescent="0.25" r="21" customHeight="1" ht="18.75">
      <c r="A21" s="40"/>
      <c r="B21" s="3"/>
      <c r="C21" s="3"/>
      <c r="D21" s="40"/>
      <c r="E21" s="3"/>
      <c r="F21" s="3"/>
      <c r="G21" s="3"/>
      <c r="H21" s="40"/>
      <c r="I21" s="124" t="s">
        <v>5</v>
      </c>
      <c r="J21" s="125"/>
      <c r="K21" s="126"/>
      <c r="L21" s="125"/>
      <c r="M21" s="125"/>
      <c r="N21" s="125"/>
      <c r="O21" s="40"/>
      <c r="P21" s="88" t="s">
        <v>51</v>
      </c>
      <c r="Q21" s="89" t="s">
        <v>57</v>
      </c>
      <c r="R21" s="89" t="s">
        <v>58</v>
      </c>
      <c r="S21" s="89" t="s">
        <v>52</v>
      </c>
      <c r="T21" s="139" t="s">
        <v>53</v>
      </c>
      <c r="U21" s="89" t="s">
        <v>54</v>
      </c>
      <c r="V21" s="89" t="s">
        <v>55</v>
      </c>
      <c r="W21" s="91" t="s">
        <v>56</v>
      </c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x14ac:dyDescent="0.25" r="22" customHeight="1" ht="19.5">
      <c r="A22" s="40"/>
      <c r="B22" s="3"/>
      <c r="C22" s="3"/>
      <c r="D22" s="40"/>
      <c r="E22" s="3"/>
      <c r="F22" s="3"/>
      <c r="G22" s="3"/>
      <c r="H22" s="40"/>
      <c r="I22" s="128" t="s">
        <v>51</v>
      </c>
      <c r="J22" s="128" t="s">
        <v>52</v>
      </c>
      <c r="K22" s="129" t="s">
        <v>53</v>
      </c>
      <c r="L22" s="128" t="s">
        <v>54</v>
      </c>
      <c r="M22" s="128" t="s">
        <v>55</v>
      </c>
      <c r="N22" s="128" t="s">
        <v>60</v>
      </c>
      <c r="O22" s="40"/>
      <c r="P22" s="96">
        <f>SUMIF('ABRIL 2025'!K:K,"ANA CAROLINA",'ABRIL 2025'!H:H)</f>
      </c>
      <c r="Q22" s="96">
        <f>SUMIF('ABRIL 2025'!K:K,"ANA CAROLINA",'ABRIL 2025'!I:I)</f>
      </c>
      <c r="R22" s="96">
        <f>SUMIF('ABRIL 2025'!K:K,"ANA CAROLINA",'ABRIL 2025'!J:J)</f>
      </c>
      <c r="S22" s="96">
        <f>SUMPRODUCT(('ABRIL 2025'!K2:K1000="ANA CAROLINA")*('ABRIL 2025'!G2:G1000="CORTESIA")*('ABRIL 2025'!D2:D1000)*('ABRIL 2025'!F2:F1000))</f>
      </c>
      <c r="T22" s="97">
        <f>SUMIF('MAR 2025'!P6:P9001,"ISADORA",'MAR 2025'!K6:K9001)</f>
      </c>
      <c r="U22" s="96">
        <f>SUMIFS('MAR 2025'!O6:O9005, 'MAR 2025'!P6:P9005, "ISADORA", 'MAR 2025'!N6:N9005, "PAGO")</f>
      </c>
      <c r="V22" s="96">
        <f>SUMIFS('MAR 2025'!O6:O9001, 'MAR 2025'!P6:P9001, "ISADORA", 'MAR 2025'!N6:N9001, "NÃO RECEBIDO")</f>
      </c>
      <c r="W22" s="96">
        <f>P22-W20</f>
      </c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x14ac:dyDescent="0.25" r="23" customHeight="1" ht="19.5">
      <c r="A23" s="40"/>
      <c r="B23" s="3"/>
      <c r="C23" s="3"/>
      <c r="D23" s="40"/>
      <c r="E23" s="3"/>
      <c r="F23" s="3"/>
      <c r="G23" s="3"/>
      <c r="H23" s="40"/>
      <c r="I23" s="96">
        <f>SUM('MAR 2025'!H2:H900)</f>
      </c>
      <c r="J23" s="96">
        <f>J5+J9+J13+J18</f>
      </c>
      <c r="K23" s="66">
        <f>K5+K9+K13+K18</f>
      </c>
      <c r="L23" s="96">
        <f>SUMIF('MAR 2025'!G2:G900,"PAGO",'MAR 2025'!H2:H900)</f>
      </c>
      <c r="M23" s="96">
        <f>SUMIF('MAR 2025'!G2:G900,"MAIO",'MAR 2025'!H2:H900)+SUMIF('MAR 2025'!G2:G900,"NÃO RECEBIDO",'MAR 2025'!H2:H900)</f>
      </c>
      <c r="N23" s="96">
        <f>N13+N9+N5+N18</f>
      </c>
      <c r="O23" s="40"/>
      <c r="P23" s="32"/>
      <c r="Q23" s="32"/>
      <c r="R23" s="32"/>
      <c r="S23" s="32"/>
      <c r="T23" s="75"/>
      <c r="U23" s="32"/>
      <c r="V23" s="32"/>
      <c r="W23" s="32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x14ac:dyDescent="0.25" r="24" customHeight="1" ht="18.75">
      <c r="A24" s="40"/>
      <c r="B24" s="3"/>
      <c r="C24" s="3"/>
      <c r="D24" s="40"/>
      <c r="E24" s="3"/>
      <c r="F24" s="3"/>
      <c r="G24" s="3"/>
      <c r="H24" s="40"/>
      <c r="I24" s="3"/>
      <c r="J24" s="3"/>
      <c r="K24" s="40"/>
      <c r="L24" s="3"/>
      <c r="M24" s="3"/>
      <c r="N24" s="3"/>
      <c r="O24" s="40"/>
      <c r="P24" s="32"/>
      <c r="Q24" s="32"/>
      <c r="R24" s="32"/>
      <c r="S24" s="32"/>
      <c r="T24" s="75"/>
      <c r="U24" s="32"/>
      <c r="V24" s="32"/>
      <c r="W24" s="32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x14ac:dyDescent="0.25" r="25" customHeight="1" ht="18.75">
      <c r="A25" s="40"/>
      <c r="B25" s="3"/>
      <c r="C25" s="3"/>
      <c r="D25" s="40"/>
      <c r="E25" s="3"/>
      <c r="F25" s="3"/>
      <c r="G25" s="3"/>
      <c r="H25" s="40"/>
      <c r="I25" s="3"/>
      <c r="J25" s="3"/>
      <c r="K25" s="40"/>
      <c r="L25" s="3"/>
      <c r="M25" s="3"/>
      <c r="N25" s="3"/>
      <c r="O25" s="40"/>
      <c r="P25" s="124" t="s">
        <v>5</v>
      </c>
      <c r="Q25" s="125"/>
      <c r="R25" s="125"/>
      <c r="S25" s="125"/>
      <c r="T25" s="125"/>
      <c r="U25" s="125"/>
      <c r="V25" s="125"/>
      <c r="W25" s="125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x14ac:dyDescent="0.25" r="26" customHeight="1" ht="18.75">
      <c r="A26" s="40"/>
      <c r="B26" s="3"/>
      <c r="C26" s="3"/>
      <c r="D26" s="40"/>
      <c r="E26" s="3"/>
      <c r="F26" s="3"/>
      <c r="G26" s="3"/>
      <c r="H26" s="40"/>
      <c r="I26" s="3"/>
      <c r="J26" s="3"/>
      <c r="K26" s="40"/>
      <c r="L26" s="3"/>
      <c r="M26" s="3"/>
      <c r="N26" s="3"/>
      <c r="O26" s="40"/>
      <c r="P26" s="128" t="s">
        <v>51</v>
      </c>
      <c r="Q26" s="128" t="s">
        <v>61</v>
      </c>
      <c r="R26" s="128" t="s">
        <v>62</v>
      </c>
      <c r="S26" s="128" t="s">
        <v>52</v>
      </c>
      <c r="T26" s="140" t="s">
        <v>53</v>
      </c>
      <c r="U26" s="128" t="s">
        <v>54</v>
      </c>
      <c r="V26" s="128" t="s">
        <v>55</v>
      </c>
      <c r="W26" s="128" t="s">
        <v>60</v>
      </c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</row>
    <row x14ac:dyDescent="0.25" r="27" customHeight="1" ht="19.5">
      <c r="A27" s="40"/>
      <c r="B27" s="3"/>
      <c r="C27" s="3"/>
      <c r="D27" s="40"/>
      <c r="E27" s="3"/>
      <c r="F27" s="3"/>
      <c r="G27" s="3"/>
      <c r="H27" s="40"/>
      <c r="I27" s="3"/>
      <c r="J27" s="3"/>
      <c r="K27" s="40"/>
      <c r="L27" s="3"/>
      <c r="M27" s="3"/>
      <c r="N27" s="3"/>
      <c r="O27" s="40"/>
      <c r="P27" s="96">
        <f>SUM('ABRIL 2025'!H:H)</f>
      </c>
      <c r="Q27" s="96">
        <f>SUM('ABRIL 2025'!I:I)</f>
      </c>
      <c r="R27" s="96">
        <f>SUM('ABRIL 2025'!J:J)</f>
      </c>
      <c r="S27" s="96">
        <f>S5+S9+S13+S18</f>
      </c>
      <c r="T27" s="97">
        <f>T5+T9+T13+T18</f>
      </c>
      <c r="U27" s="96">
        <f>SUMIF('MAR 2025'!N2:N900,"PAGO",'MAR 2025'!O2:O900)</f>
      </c>
      <c r="V27" s="96">
        <f>SUMIF('MAR 2025'!N2:N900,"MAIO",'MAR 2025'!O2:O900)+SUMIF('MAR 2025'!N2:N900,"NÃO RECEBIDO",'MAR 2025'!O2:O900)</f>
      </c>
      <c r="W27" s="96">
        <f>V1-P27</f>
      </c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</row>
    <row x14ac:dyDescent="0.25" r="28" customHeight="1" ht="18.75">
      <c r="A28" s="40"/>
      <c r="B28" s="3"/>
      <c r="C28" s="3"/>
      <c r="D28" s="40"/>
      <c r="E28" s="3"/>
      <c r="F28" s="3"/>
      <c r="G28" s="3"/>
      <c r="H28" s="40"/>
      <c r="I28" s="3"/>
      <c r="J28" s="3"/>
      <c r="K28" s="40"/>
      <c r="L28" s="3"/>
      <c r="M28" s="3"/>
      <c r="N28" s="3"/>
      <c r="O28" s="40"/>
      <c r="P28" s="32"/>
      <c r="Q28" s="32"/>
      <c r="R28" s="32"/>
      <c r="S28" s="32"/>
      <c r="T28" s="75"/>
      <c r="U28" s="32"/>
      <c r="V28" s="32"/>
      <c r="W28" s="32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</row>
    <row x14ac:dyDescent="0.25" r="29" customHeight="1" ht="18.75">
      <c r="A29" s="40"/>
      <c r="B29" s="3"/>
      <c r="C29" s="3"/>
      <c r="D29" s="40"/>
      <c r="E29" s="3"/>
      <c r="F29" s="3"/>
      <c r="G29" s="3"/>
      <c r="H29" s="40"/>
      <c r="I29" s="3"/>
      <c r="J29" s="3"/>
      <c r="K29" s="40"/>
      <c r="L29" s="3"/>
      <c r="M29" s="3"/>
      <c r="N29" s="3"/>
      <c r="O29" s="40"/>
      <c r="P29" s="32"/>
      <c r="Q29" s="32"/>
      <c r="R29" s="32"/>
      <c r="S29" s="32"/>
      <c r="T29" s="75"/>
      <c r="U29" s="32"/>
      <c r="V29" s="32"/>
      <c r="W29" s="32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</row>
    <row x14ac:dyDescent="0.25" r="30" customHeight="1" ht="18.75">
      <c r="A30" s="40"/>
      <c r="B30" s="3"/>
      <c r="C30" s="3"/>
      <c r="D30" s="40"/>
      <c r="E30" s="3"/>
      <c r="F30" s="3"/>
      <c r="G30" s="3"/>
      <c r="H30" s="40"/>
      <c r="I30" s="3"/>
      <c r="J30" s="3"/>
      <c r="K30" s="40"/>
      <c r="L30" s="3"/>
      <c r="M30" s="3"/>
      <c r="N30" s="3"/>
      <c r="O30" s="40"/>
      <c r="P30" s="32"/>
      <c r="Q30" s="32"/>
      <c r="R30" s="32"/>
      <c r="S30" s="32"/>
      <c r="T30" s="75"/>
      <c r="U30" s="32"/>
      <c r="V30" s="32"/>
      <c r="W30" s="32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</row>
    <row x14ac:dyDescent="0.25" r="31" customHeight="1" ht="18.75">
      <c r="A31" s="40"/>
      <c r="B31" s="3"/>
      <c r="C31" s="3"/>
      <c r="D31" s="40"/>
      <c r="E31" s="3"/>
      <c r="F31" s="3"/>
      <c r="G31" s="3"/>
      <c r="H31" s="40"/>
      <c r="I31" s="3"/>
      <c r="J31" s="3"/>
      <c r="K31" s="40"/>
      <c r="L31" s="3"/>
      <c r="M31" s="3"/>
      <c r="N31" s="3"/>
      <c r="O31" s="40"/>
      <c r="P31" s="32"/>
      <c r="Q31" s="32"/>
      <c r="R31" s="32"/>
      <c r="S31" s="32"/>
      <c r="T31" s="75"/>
      <c r="U31" s="32"/>
      <c r="V31" s="32"/>
      <c r="W31" s="32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x14ac:dyDescent="0.25" r="32" customHeight="1" ht="18.75">
      <c r="A32" s="40"/>
      <c r="B32" s="3"/>
      <c r="C32" s="3"/>
      <c r="D32" s="40"/>
      <c r="E32" s="3"/>
      <c r="F32" s="3"/>
      <c r="G32" s="3"/>
      <c r="H32" s="40"/>
      <c r="I32" s="3"/>
      <c r="J32" s="3"/>
      <c r="K32" s="40"/>
      <c r="L32" s="3"/>
      <c r="M32" s="3"/>
      <c r="N32" s="3"/>
      <c r="O32" s="40"/>
      <c r="P32" s="32"/>
      <c r="Q32" s="32"/>
      <c r="R32" s="32"/>
      <c r="S32" s="32"/>
      <c r="T32" s="75"/>
      <c r="U32" s="32"/>
      <c r="V32" s="32"/>
      <c r="W32" s="32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</row>
    <row x14ac:dyDescent="0.25" r="33" customHeight="1" ht="18.75">
      <c r="A33" s="40"/>
      <c r="B33" s="3"/>
      <c r="C33" s="3"/>
      <c r="D33" s="40"/>
      <c r="E33" s="3"/>
      <c r="F33" s="3"/>
      <c r="G33" s="3"/>
      <c r="H33" s="40"/>
      <c r="I33" s="3"/>
      <c r="J33" s="3"/>
      <c r="K33" s="40"/>
      <c r="L33" s="3"/>
      <c r="M33" s="3"/>
      <c r="N33" s="3"/>
      <c r="O33" s="40"/>
      <c r="P33" s="32"/>
      <c r="Q33" s="32"/>
      <c r="R33" s="32"/>
      <c r="S33" s="32"/>
      <c r="T33" s="75"/>
      <c r="U33" s="32"/>
      <c r="V33" s="32"/>
      <c r="W33" s="32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x14ac:dyDescent="0.25" r="34" customHeight="1" ht="18.75">
      <c r="A34" s="40"/>
      <c r="B34" s="3"/>
      <c r="C34" s="3"/>
      <c r="D34" s="40"/>
      <c r="E34" s="3"/>
      <c r="F34" s="3"/>
      <c r="G34" s="3"/>
      <c r="H34" s="40"/>
      <c r="I34" s="3"/>
      <c r="J34" s="3"/>
      <c r="K34" s="40"/>
      <c r="L34" s="3"/>
      <c r="M34" s="3"/>
      <c r="N34" s="3"/>
      <c r="O34" s="40"/>
      <c r="P34" s="32"/>
      <c r="Q34" s="32"/>
      <c r="R34" s="32"/>
      <c r="S34" s="32"/>
      <c r="T34" s="75"/>
      <c r="U34" s="32"/>
      <c r="V34" s="32"/>
      <c r="W34" s="32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x14ac:dyDescent="0.25" r="35" customHeight="1" ht="18.75">
      <c r="A35" s="40"/>
      <c r="B35" s="3"/>
      <c r="C35" s="3"/>
      <c r="D35" s="40"/>
      <c r="E35" s="3"/>
      <c r="F35" s="3"/>
      <c r="G35" s="3"/>
      <c r="H35" s="40"/>
      <c r="I35" s="3"/>
      <c r="J35" s="3"/>
      <c r="K35" s="40"/>
      <c r="L35" s="3"/>
      <c r="M35" s="3"/>
      <c r="N35" s="3"/>
      <c r="O35" s="40"/>
      <c r="P35" s="32"/>
      <c r="Q35" s="32"/>
      <c r="R35" s="32"/>
      <c r="S35" s="32"/>
      <c r="T35" s="75"/>
      <c r="U35" s="32"/>
      <c r="V35" s="32"/>
      <c r="W35" s="32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x14ac:dyDescent="0.25" r="36" customHeight="1" ht="18.75">
      <c r="A36" s="40"/>
      <c r="B36" s="3"/>
      <c r="C36" s="3"/>
      <c r="D36" s="40"/>
      <c r="E36" s="3"/>
      <c r="F36" s="3"/>
      <c r="G36" s="3"/>
      <c r="H36" s="40"/>
      <c r="I36" s="3"/>
      <c r="J36" s="3"/>
      <c r="K36" s="40"/>
      <c r="L36" s="3"/>
      <c r="M36" s="3"/>
      <c r="N36" s="3"/>
      <c r="O36" s="40"/>
      <c r="P36" s="32"/>
      <c r="Q36" s="32"/>
      <c r="R36" s="32"/>
      <c r="S36" s="32"/>
      <c r="T36" s="75"/>
      <c r="U36" s="32"/>
      <c r="V36" s="32"/>
      <c r="W36" s="32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x14ac:dyDescent="0.25" r="37" customHeight="1" ht="18.75">
      <c r="A37" s="40"/>
      <c r="B37" s="3"/>
      <c r="C37" s="3"/>
      <c r="D37" s="40"/>
      <c r="E37" s="3"/>
      <c r="F37" s="3"/>
      <c r="G37" s="3"/>
      <c r="H37" s="40"/>
      <c r="I37" s="3"/>
      <c r="J37" s="3"/>
      <c r="K37" s="40"/>
      <c r="L37" s="3"/>
      <c r="M37" s="3"/>
      <c r="N37" s="3"/>
      <c r="O37" s="40"/>
      <c r="P37" s="32"/>
      <c r="Q37" s="32"/>
      <c r="R37" s="32"/>
      <c r="S37" s="32"/>
      <c r="T37" s="75"/>
      <c r="U37" s="32"/>
      <c r="V37" s="32"/>
      <c r="W37" s="32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x14ac:dyDescent="0.25" r="38" customHeight="1" ht="18.75">
      <c r="A38" s="40"/>
      <c r="B38" s="3"/>
      <c r="C38" s="3"/>
      <c r="D38" s="40"/>
      <c r="E38" s="3"/>
      <c r="F38" s="3"/>
      <c r="G38" s="3"/>
      <c r="H38" s="40"/>
      <c r="I38" s="3"/>
      <c r="J38" s="3"/>
      <c r="K38" s="40"/>
      <c r="L38" s="3"/>
      <c r="M38" s="3"/>
      <c r="N38" s="3"/>
      <c r="O38" s="40"/>
      <c r="P38" s="32"/>
      <c r="Q38" s="32"/>
      <c r="R38" s="32"/>
      <c r="S38" s="32"/>
      <c r="T38" s="75"/>
      <c r="U38" s="32"/>
      <c r="V38" s="32"/>
      <c r="W38" s="32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</row>
    <row x14ac:dyDescent="0.25" r="39" customHeight="1" ht="18.75">
      <c r="A39" s="40"/>
      <c r="B39" s="3"/>
      <c r="C39" s="3"/>
      <c r="D39" s="40"/>
      <c r="E39" s="3"/>
      <c r="F39" s="3"/>
      <c r="G39" s="3"/>
      <c r="H39" s="40"/>
      <c r="I39" s="3"/>
      <c r="J39" s="3"/>
      <c r="K39" s="40"/>
      <c r="L39" s="3"/>
      <c r="M39" s="3"/>
      <c r="N39" s="3"/>
      <c r="O39" s="40"/>
      <c r="P39" s="32"/>
      <c r="Q39" s="32"/>
      <c r="R39" s="32"/>
      <c r="S39" s="32"/>
      <c r="T39" s="75"/>
      <c r="U39" s="32"/>
      <c r="V39" s="32"/>
      <c r="W39" s="32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x14ac:dyDescent="0.25" r="40" customHeight="1" ht="18.75">
      <c r="A40" s="40"/>
      <c r="B40" s="3"/>
      <c r="C40" s="3"/>
      <c r="D40" s="40"/>
      <c r="E40" s="3"/>
      <c r="F40" s="3"/>
      <c r="G40" s="3"/>
      <c r="H40" s="40"/>
      <c r="I40" s="3"/>
      <c r="J40" s="3"/>
      <c r="K40" s="40"/>
      <c r="L40" s="3"/>
      <c r="M40" s="3"/>
      <c r="N40" s="3"/>
      <c r="O40" s="40"/>
      <c r="P40" s="32"/>
      <c r="Q40" s="32"/>
      <c r="R40" s="32"/>
      <c r="S40" s="32"/>
      <c r="T40" s="75"/>
      <c r="U40" s="32"/>
      <c r="V40" s="32"/>
      <c r="W40" s="32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x14ac:dyDescent="0.25" r="41" customHeight="1" ht="18.75">
      <c r="A41" s="40"/>
      <c r="B41" s="3"/>
      <c r="C41" s="3"/>
      <c r="D41" s="40"/>
      <c r="E41" s="3"/>
      <c r="F41" s="3"/>
      <c r="G41" s="3"/>
      <c r="H41" s="40"/>
      <c r="I41" s="3"/>
      <c r="J41" s="3"/>
      <c r="K41" s="40"/>
      <c r="L41" s="3"/>
      <c r="M41" s="3"/>
      <c r="N41" s="3"/>
      <c r="O41" s="40"/>
      <c r="P41" s="32"/>
      <c r="Q41" s="32"/>
      <c r="R41" s="32"/>
      <c r="S41" s="32"/>
      <c r="T41" s="75"/>
      <c r="U41" s="32"/>
      <c r="V41" s="32"/>
      <c r="W41" s="32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x14ac:dyDescent="0.25" r="42" customHeight="1" ht="18.75">
      <c r="A42" s="40"/>
      <c r="B42" s="3"/>
      <c r="C42" s="3"/>
      <c r="D42" s="40"/>
      <c r="E42" s="3"/>
      <c r="F42" s="3"/>
      <c r="G42" s="3"/>
      <c r="H42" s="40"/>
      <c r="I42" s="3"/>
      <c r="J42" s="3"/>
      <c r="K42" s="40"/>
      <c r="L42" s="3"/>
      <c r="M42" s="3"/>
      <c r="N42" s="3"/>
      <c r="O42" s="40"/>
      <c r="P42" s="32"/>
      <c r="Q42" s="32"/>
      <c r="R42" s="32"/>
      <c r="S42" s="32"/>
      <c r="T42" s="75"/>
      <c r="U42" s="32"/>
      <c r="V42" s="32"/>
      <c r="W42" s="32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x14ac:dyDescent="0.25" r="43" customHeight="1" ht="18.75">
      <c r="A43" s="40"/>
      <c r="B43" s="3"/>
      <c r="C43" s="3"/>
      <c r="D43" s="40"/>
      <c r="E43" s="3"/>
      <c r="F43" s="3"/>
      <c r="G43" s="3"/>
      <c r="H43" s="40"/>
      <c r="I43" s="3"/>
      <c r="J43" s="3"/>
      <c r="K43" s="40"/>
      <c r="L43" s="3"/>
      <c r="M43" s="3"/>
      <c r="N43" s="3"/>
      <c r="O43" s="40"/>
      <c r="P43" s="32"/>
      <c r="Q43" s="32"/>
      <c r="R43" s="32"/>
      <c r="S43" s="32"/>
      <c r="T43" s="75"/>
      <c r="U43" s="32"/>
      <c r="V43" s="32"/>
      <c r="W43" s="32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x14ac:dyDescent="0.25" r="44" customHeight="1" ht="18.75">
      <c r="A44" s="40"/>
      <c r="B44" s="3"/>
      <c r="C44" s="3"/>
      <c r="D44" s="40"/>
      <c r="E44" s="3"/>
      <c r="F44" s="3"/>
      <c r="G44" s="3"/>
      <c r="H44" s="40"/>
      <c r="I44" s="3"/>
      <c r="J44" s="3"/>
      <c r="K44" s="40"/>
      <c r="L44" s="3"/>
      <c r="M44" s="3"/>
      <c r="N44" s="3"/>
      <c r="O44" s="40"/>
      <c r="P44" s="32"/>
      <c r="Q44" s="32"/>
      <c r="R44" s="32"/>
      <c r="S44" s="32"/>
      <c r="T44" s="75"/>
      <c r="U44" s="32"/>
      <c r="V44" s="32"/>
      <c r="W44" s="32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x14ac:dyDescent="0.25" r="45" customHeight="1" ht="18.75">
      <c r="A45" s="40"/>
      <c r="B45" s="3"/>
      <c r="C45" s="3"/>
      <c r="D45" s="40"/>
      <c r="E45" s="3"/>
      <c r="F45" s="3"/>
      <c r="G45" s="3"/>
      <c r="H45" s="40"/>
      <c r="I45" s="3"/>
      <c r="J45" s="3"/>
      <c r="K45" s="40"/>
      <c r="L45" s="3"/>
      <c r="M45" s="3"/>
      <c r="N45" s="3"/>
      <c r="O45" s="40"/>
      <c r="P45" s="32"/>
      <c r="Q45" s="32"/>
      <c r="R45" s="32"/>
      <c r="S45" s="32"/>
      <c r="T45" s="75"/>
      <c r="U45" s="32"/>
      <c r="V45" s="32"/>
      <c r="W45" s="32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x14ac:dyDescent="0.25" r="46" customHeight="1" ht="18.75">
      <c r="A46" s="40"/>
      <c r="B46" s="3"/>
      <c r="C46" s="3"/>
      <c r="D46" s="40"/>
      <c r="E46" s="3"/>
      <c r="F46" s="3"/>
      <c r="G46" s="3"/>
      <c r="H46" s="40"/>
      <c r="I46" s="3"/>
      <c r="J46" s="3"/>
      <c r="K46" s="40"/>
      <c r="L46" s="3"/>
      <c r="M46" s="3"/>
      <c r="N46" s="3"/>
      <c r="O46" s="40"/>
      <c r="P46" s="32"/>
      <c r="Q46" s="32"/>
      <c r="R46" s="32"/>
      <c r="S46" s="32"/>
      <c r="T46" s="75"/>
      <c r="U46" s="32"/>
      <c r="V46" s="32"/>
      <c r="W46" s="32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x14ac:dyDescent="0.25" r="47" customHeight="1" ht="18.75">
      <c r="A47" s="40"/>
      <c r="B47" s="3"/>
      <c r="C47" s="3"/>
      <c r="D47" s="40"/>
      <c r="E47" s="3"/>
      <c r="F47" s="3"/>
      <c r="G47" s="3"/>
      <c r="H47" s="40"/>
      <c r="I47" s="3"/>
      <c r="J47" s="3"/>
      <c r="K47" s="40"/>
      <c r="L47" s="3"/>
      <c r="M47" s="3"/>
      <c r="N47" s="3"/>
      <c r="O47" s="40"/>
      <c r="P47" s="32"/>
      <c r="Q47" s="32"/>
      <c r="R47" s="32"/>
      <c r="S47" s="32"/>
      <c r="T47" s="75"/>
      <c r="U47" s="32"/>
      <c r="V47" s="32"/>
      <c r="W47" s="32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x14ac:dyDescent="0.25" r="48" customHeight="1" ht="18.75">
      <c r="A48" s="40"/>
      <c r="B48" s="3"/>
      <c r="C48" s="3"/>
      <c r="D48" s="40"/>
      <c r="E48" s="3"/>
      <c r="F48" s="3"/>
      <c r="G48" s="3"/>
      <c r="H48" s="40"/>
      <c r="I48" s="3"/>
      <c r="J48" s="3"/>
      <c r="K48" s="40"/>
      <c r="L48" s="3"/>
      <c r="M48" s="3"/>
      <c r="N48" s="3"/>
      <c r="O48" s="40"/>
      <c r="P48" s="32"/>
      <c r="Q48" s="32"/>
      <c r="R48" s="32"/>
      <c r="S48" s="32"/>
      <c r="T48" s="75"/>
      <c r="U48" s="32"/>
      <c r="V48" s="32"/>
      <c r="W48" s="32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x14ac:dyDescent="0.25" r="49" customHeight="1" ht="18.75">
      <c r="A49" s="40"/>
      <c r="B49" s="3"/>
      <c r="C49" s="3"/>
      <c r="D49" s="40"/>
      <c r="E49" s="3"/>
      <c r="F49" s="3"/>
      <c r="G49" s="3"/>
      <c r="H49" s="40"/>
      <c r="I49" s="3"/>
      <c r="J49" s="3"/>
      <c r="K49" s="40"/>
      <c r="L49" s="3"/>
      <c r="M49" s="3"/>
      <c r="N49" s="3"/>
      <c r="O49" s="40"/>
      <c r="P49" s="32"/>
      <c r="Q49" s="32"/>
      <c r="R49" s="32"/>
      <c r="S49" s="32"/>
      <c r="T49" s="75"/>
      <c r="U49" s="32"/>
      <c r="V49" s="32"/>
      <c r="W49" s="32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x14ac:dyDescent="0.25" r="50" customHeight="1" ht="18.75">
      <c r="A50" s="40"/>
      <c r="B50" s="3"/>
      <c r="C50" s="3"/>
      <c r="D50" s="40"/>
      <c r="E50" s="3"/>
      <c r="F50" s="3"/>
      <c r="G50" s="3"/>
      <c r="H50" s="40"/>
      <c r="I50" s="3"/>
      <c r="J50" s="3"/>
      <c r="K50" s="40"/>
      <c r="L50" s="3"/>
      <c r="M50" s="3"/>
      <c r="N50" s="3"/>
      <c r="O50" s="40"/>
      <c r="P50" s="32"/>
      <c r="Q50" s="32"/>
      <c r="R50" s="32"/>
      <c r="S50" s="32"/>
      <c r="T50" s="75"/>
      <c r="U50" s="32"/>
      <c r="V50" s="32"/>
      <c r="W50" s="32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</row>
    <row x14ac:dyDescent="0.25" r="51" customHeight="1" ht="18.75">
      <c r="A51" s="40"/>
      <c r="B51" s="3"/>
      <c r="C51" s="3"/>
      <c r="D51" s="40"/>
      <c r="E51" s="3"/>
      <c r="F51" s="3"/>
      <c r="G51" s="3"/>
      <c r="H51" s="40"/>
      <c r="I51" s="3"/>
      <c r="J51" s="3"/>
      <c r="K51" s="40"/>
      <c r="L51" s="3"/>
      <c r="M51" s="3"/>
      <c r="N51" s="3"/>
      <c r="O51" s="40"/>
      <c r="P51" s="32"/>
      <c r="Q51" s="32"/>
      <c r="R51" s="32"/>
      <c r="S51" s="32"/>
      <c r="T51" s="75"/>
      <c r="U51" s="32"/>
      <c r="V51" s="32"/>
      <c r="W51" s="32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</row>
    <row x14ac:dyDescent="0.25" r="52" customHeight="1" ht="18.75">
      <c r="A52" s="40"/>
      <c r="B52" s="3"/>
      <c r="C52" s="3"/>
      <c r="D52" s="40"/>
      <c r="E52" s="3"/>
      <c r="F52" s="3"/>
      <c r="G52" s="3"/>
      <c r="H52" s="40"/>
      <c r="I52" s="3"/>
      <c r="J52" s="3"/>
      <c r="K52" s="40"/>
      <c r="L52" s="3"/>
      <c r="M52" s="3"/>
      <c r="N52" s="3"/>
      <c r="O52" s="40"/>
      <c r="P52" s="32"/>
      <c r="Q52" s="32"/>
      <c r="R52" s="32"/>
      <c r="S52" s="32"/>
      <c r="T52" s="75"/>
      <c r="U52" s="32"/>
      <c r="V52" s="32"/>
      <c r="W52" s="32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</row>
    <row x14ac:dyDescent="0.25" r="53" customHeight="1" ht="18.75">
      <c r="A53" s="40"/>
      <c r="B53" s="3"/>
      <c r="C53" s="3"/>
      <c r="D53" s="40"/>
      <c r="E53" s="3"/>
      <c r="F53" s="3"/>
      <c r="G53" s="3"/>
      <c r="H53" s="40"/>
      <c r="I53" s="3"/>
      <c r="J53" s="3"/>
      <c r="K53" s="40"/>
      <c r="L53" s="3"/>
      <c r="M53" s="3"/>
      <c r="N53" s="3"/>
      <c r="O53" s="40"/>
      <c r="P53" s="32"/>
      <c r="Q53" s="32"/>
      <c r="R53" s="32"/>
      <c r="S53" s="32"/>
      <c r="T53" s="75"/>
      <c r="U53" s="32"/>
      <c r="V53" s="32"/>
      <c r="W53" s="32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</row>
    <row x14ac:dyDescent="0.25" r="54" customHeight="1" ht="18.75">
      <c r="A54" s="40"/>
      <c r="B54" s="3"/>
      <c r="C54" s="3"/>
      <c r="D54" s="40"/>
      <c r="E54" s="3"/>
      <c r="F54" s="3"/>
      <c r="G54" s="3"/>
      <c r="H54" s="40"/>
      <c r="I54" s="3"/>
      <c r="J54" s="3"/>
      <c r="K54" s="40"/>
      <c r="L54" s="3"/>
      <c r="M54" s="3"/>
      <c r="N54" s="3"/>
      <c r="O54" s="40"/>
      <c r="P54" s="32"/>
      <c r="Q54" s="32"/>
      <c r="R54" s="32"/>
      <c r="S54" s="32"/>
      <c r="T54" s="75"/>
      <c r="U54" s="32"/>
      <c r="V54" s="32"/>
      <c r="W54" s="32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</row>
    <row x14ac:dyDescent="0.25" r="55" customHeight="1" ht="18.75">
      <c r="A55" s="40"/>
      <c r="B55" s="3"/>
      <c r="C55" s="3"/>
      <c r="D55" s="40"/>
      <c r="E55" s="3"/>
      <c r="F55" s="3"/>
      <c r="G55" s="3"/>
      <c r="H55" s="40"/>
      <c r="I55" s="3"/>
      <c r="J55" s="3"/>
      <c r="K55" s="40"/>
      <c r="L55" s="3"/>
      <c r="M55" s="3"/>
      <c r="N55" s="3"/>
      <c r="O55" s="40"/>
      <c r="P55" s="32"/>
      <c r="Q55" s="32"/>
      <c r="R55" s="32"/>
      <c r="S55" s="32"/>
      <c r="T55" s="75"/>
      <c r="U55" s="32"/>
      <c r="V55" s="32"/>
      <c r="W55" s="32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</row>
    <row x14ac:dyDescent="0.25" r="56" customHeight="1" ht="18.75">
      <c r="A56" s="40"/>
      <c r="B56" s="3"/>
      <c r="C56" s="3"/>
      <c r="D56" s="40"/>
      <c r="E56" s="3"/>
      <c r="F56" s="3"/>
      <c r="G56" s="3"/>
      <c r="H56" s="40"/>
      <c r="I56" s="3"/>
      <c r="J56" s="3"/>
      <c r="K56" s="40"/>
      <c r="L56" s="3"/>
      <c r="M56" s="3"/>
      <c r="N56" s="3"/>
      <c r="O56" s="40"/>
      <c r="P56" s="32"/>
      <c r="Q56" s="32"/>
      <c r="R56" s="32"/>
      <c r="S56" s="32"/>
      <c r="T56" s="75"/>
      <c r="U56" s="32"/>
      <c r="V56" s="32"/>
      <c r="W56" s="32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</row>
    <row x14ac:dyDescent="0.25" r="57" customHeight="1" ht="18.75">
      <c r="A57" s="40"/>
      <c r="B57" s="3"/>
      <c r="C57" s="3"/>
      <c r="D57" s="40"/>
      <c r="E57" s="3"/>
      <c r="F57" s="3"/>
      <c r="G57" s="3"/>
      <c r="H57" s="40"/>
      <c r="I57" s="3"/>
      <c r="J57" s="3"/>
      <c r="K57" s="40"/>
      <c r="L57" s="3"/>
      <c r="M57" s="3"/>
      <c r="N57" s="3"/>
      <c r="O57" s="40"/>
      <c r="P57" s="32"/>
      <c r="Q57" s="32"/>
      <c r="R57" s="32"/>
      <c r="S57" s="32"/>
      <c r="T57" s="75"/>
      <c r="U57" s="32"/>
      <c r="V57" s="32"/>
      <c r="W57" s="32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</row>
    <row x14ac:dyDescent="0.25" r="58" customHeight="1" ht="18.75">
      <c r="A58" s="40"/>
      <c r="B58" s="3"/>
      <c r="C58" s="3"/>
      <c r="D58" s="40"/>
      <c r="E58" s="3"/>
      <c r="F58" s="3"/>
      <c r="G58" s="3"/>
      <c r="H58" s="40"/>
      <c r="I58" s="3"/>
      <c r="J58" s="3"/>
      <c r="K58" s="40"/>
      <c r="L58" s="3"/>
      <c r="M58" s="3"/>
      <c r="N58" s="3"/>
      <c r="O58" s="40"/>
      <c r="P58" s="32"/>
      <c r="Q58" s="32"/>
      <c r="R58" s="32"/>
      <c r="S58" s="32"/>
      <c r="T58" s="75"/>
      <c r="U58" s="32"/>
      <c r="V58" s="32"/>
      <c r="W58" s="32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</row>
    <row x14ac:dyDescent="0.25" r="59" customHeight="1" ht="18.75">
      <c r="A59" s="40"/>
      <c r="B59" s="3"/>
      <c r="C59" s="3"/>
      <c r="D59" s="40"/>
      <c r="E59" s="3"/>
      <c r="F59" s="3"/>
      <c r="G59" s="3"/>
      <c r="H59" s="40"/>
      <c r="I59" s="3"/>
      <c r="J59" s="3"/>
      <c r="K59" s="40"/>
      <c r="L59" s="3"/>
      <c r="M59" s="3"/>
      <c r="N59" s="3"/>
      <c r="O59" s="40"/>
      <c r="P59" s="32"/>
      <c r="Q59" s="32"/>
      <c r="R59" s="32"/>
      <c r="S59" s="32"/>
      <c r="T59" s="75"/>
      <c r="U59" s="32"/>
      <c r="V59" s="32"/>
      <c r="W59" s="32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</row>
    <row x14ac:dyDescent="0.25" r="60" customHeight="1" ht="18.75">
      <c r="A60" s="40"/>
      <c r="B60" s="3"/>
      <c r="C60" s="3"/>
      <c r="D60" s="40"/>
      <c r="E60" s="3"/>
      <c r="F60" s="3"/>
      <c r="G60" s="3"/>
      <c r="H60" s="40"/>
      <c r="I60" s="3"/>
      <c r="J60" s="3"/>
      <c r="K60" s="40"/>
      <c r="L60" s="3"/>
      <c r="M60" s="3"/>
      <c r="N60" s="3"/>
      <c r="O60" s="40"/>
      <c r="P60" s="32"/>
      <c r="Q60" s="32"/>
      <c r="R60" s="32"/>
      <c r="S60" s="32"/>
      <c r="T60" s="75"/>
      <c r="U60" s="32"/>
      <c r="V60" s="32"/>
      <c r="W60" s="32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</row>
    <row x14ac:dyDescent="0.25" r="61" customHeight="1" ht="18.75">
      <c r="A61" s="40"/>
      <c r="B61" s="3"/>
      <c r="C61" s="3"/>
      <c r="D61" s="40"/>
      <c r="E61" s="3"/>
      <c r="F61" s="3"/>
      <c r="G61" s="3"/>
      <c r="H61" s="40"/>
      <c r="I61" s="3"/>
      <c r="J61" s="3"/>
      <c r="K61" s="40"/>
      <c r="L61" s="3"/>
      <c r="M61" s="3"/>
      <c r="N61" s="3"/>
      <c r="O61" s="40"/>
      <c r="P61" s="32"/>
      <c r="Q61" s="32"/>
      <c r="R61" s="32"/>
      <c r="S61" s="32"/>
      <c r="T61" s="75"/>
      <c r="U61" s="32"/>
      <c r="V61" s="32"/>
      <c r="W61" s="32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</row>
    <row x14ac:dyDescent="0.25" r="62" customHeight="1" ht="18.75">
      <c r="A62" s="40"/>
      <c r="B62" s="3"/>
      <c r="C62" s="3"/>
      <c r="D62" s="40"/>
      <c r="E62" s="3"/>
      <c r="F62" s="3"/>
      <c r="G62" s="3"/>
      <c r="H62" s="40"/>
      <c r="I62" s="3"/>
      <c r="J62" s="3"/>
      <c r="K62" s="40"/>
      <c r="L62" s="3"/>
      <c r="M62" s="3"/>
      <c r="N62" s="3"/>
      <c r="O62" s="40"/>
      <c r="P62" s="32"/>
      <c r="Q62" s="32"/>
      <c r="R62" s="32"/>
      <c r="S62" s="32"/>
      <c r="T62" s="75"/>
      <c r="U62" s="32"/>
      <c r="V62" s="32"/>
      <c r="W62" s="32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</row>
    <row x14ac:dyDescent="0.25" r="63" customHeight="1" ht="18.75">
      <c r="A63" s="40"/>
      <c r="B63" s="3"/>
      <c r="C63" s="3"/>
      <c r="D63" s="40"/>
      <c r="E63" s="3"/>
      <c r="F63" s="3"/>
      <c r="G63" s="3"/>
      <c r="H63" s="40"/>
      <c r="I63" s="3"/>
      <c r="J63" s="3"/>
      <c r="K63" s="40"/>
      <c r="L63" s="3"/>
      <c r="M63" s="3"/>
      <c r="N63" s="3"/>
      <c r="O63" s="40"/>
      <c r="P63" s="32"/>
      <c r="Q63" s="32"/>
      <c r="R63" s="32"/>
      <c r="S63" s="32"/>
      <c r="T63" s="75"/>
      <c r="U63" s="32"/>
      <c r="V63" s="32"/>
      <c r="W63" s="32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</row>
    <row x14ac:dyDescent="0.25" r="64" customHeight="1" ht="18.75">
      <c r="A64" s="40"/>
      <c r="B64" s="3"/>
      <c r="C64" s="3"/>
      <c r="D64" s="40"/>
      <c r="E64" s="3"/>
      <c r="F64" s="3"/>
      <c r="G64" s="3"/>
      <c r="H64" s="40"/>
      <c r="I64" s="3"/>
      <c r="J64" s="3"/>
      <c r="K64" s="40"/>
      <c r="L64" s="3"/>
      <c r="M64" s="3"/>
      <c r="N64" s="3"/>
      <c r="O64" s="40"/>
      <c r="P64" s="32"/>
      <c r="Q64" s="32"/>
      <c r="R64" s="32"/>
      <c r="S64" s="32"/>
      <c r="T64" s="75"/>
      <c r="U64" s="32"/>
      <c r="V64" s="32"/>
      <c r="W64" s="32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</row>
    <row x14ac:dyDescent="0.25" r="65" customHeight="1" ht="18.75">
      <c r="A65" s="40"/>
      <c r="B65" s="3"/>
      <c r="C65" s="3"/>
      <c r="D65" s="40"/>
      <c r="E65" s="3"/>
      <c r="F65" s="3"/>
      <c r="G65" s="3"/>
      <c r="H65" s="40"/>
      <c r="I65" s="3"/>
      <c r="J65" s="3"/>
      <c r="K65" s="40"/>
      <c r="L65" s="3"/>
      <c r="M65" s="3"/>
      <c r="N65" s="3"/>
      <c r="O65" s="40"/>
      <c r="P65" s="32"/>
      <c r="Q65" s="32"/>
      <c r="R65" s="32"/>
      <c r="S65" s="32"/>
      <c r="T65" s="75"/>
      <c r="U65" s="32"/>
      <c r="V65" s="32"/>
      <c r="W65" s="32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</row>
    <row x14ac:dyDescent="0.25" r="66" customHeight="1" ht="18.75">
      <c r="A66" s="40"/>
      <c r="B66" s="3"/>
      <c r="C66" s="3"/>
      <c r="D66" s="40"/>
      <c r="E66" s="3"/>
      <c r="F66" s="3"/>
      <c r="G66" s="3"/>
      <c r="H66" s="40"/>
      <c r="I66" s="3"/>
      <c r="J66" s="3"/>
      <c r="K66" s="40"/>
      <c r="L66" s="3"/>
      <c r="M66" s="3"/>
      <c r="N66" s="3"/>
      <c r="O66" s="40"/>
      <c r="P66" s="32"/>
      <c r="Q66" s="32"/>
      <c r="R66" s="32"/>
      <c r="S66" s="32"/>
      <c r="T66" s="75"/>
      <c r="U66" s="32"/>
      <c r="V66" s="32"/>
      <c r="W66" s="32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</row>
    <row x14ac:dyDescent="0.25" r="67" customHeight="1" ht="18.75">
      <c r="A67" s="40"/>
      <c r="B67" s="3"/>
      <c r="C67" s="3"/>
      <c r="D67" s="40"/>
      <c r="E67" s="3"/>
      <c r="F67" s="3"/>
      <c r="G67" s="3"/>
      <c r="H67" s="40"/>
      <c r="I67" s="3"/>
      <c r="J67" s="3"/>
      <c r="K67" s="40"/>
      <c r="L67" s="3"/>
      <c r="M67" s="3"/>
      <c r="N67" s="3"/>
      <c r="O67" s="40"/>
      <c r="P67" s="32"/>
      <c r="Q67" s="32"/>
      <c r="R67" s="32"/>
      <c r="S67" s="32"/>
      <c r="T67" s="75"/>
      <c r="U67" s="32"/>
      <c r="V67" s="32"/>
      <c r="W67" s="32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</row>
    <row x14ac:dyDescent="0.25" r="68" customHeight="1" ht="18.75">
      <c r="A68" s="40"/>
      <c r="B68" s="3"/>
      <c r="C68" s="3"/>
      <c r="D68" s="40"/>
      <c r="E68" s="3"/>
      <c r="F68" s="3"/>
      <c r="G68" s="3"/>
      <c r="H68" s="40"/>
      <c r="I68" s="3"/>
      <c r="J68" s="3"/>
      <c r="K68" s="40"/>
      <c r="L68" s="3"/>
      <c r="M68" s="3"/>
      <c r="N68" s="3"/>
      <c r="O68" s="40"/>
      <c r="P68" s="32"/>
      <c r="Q68" s="32"/>
      <c r="R68" s="32"/>
      <c r="S68" s="32"/>
      <c r="T68" s="75"/>
      <c r="U68" s="32"/>
      <c r="V68" s="32"/>
      <c r="W68" s="32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</row>
    <row x14ac:dyDescent="0.25" r="69" customHeight="1" ht="18.75">
      <c r="A69" s="40"/>
      <c r="B69" s="3"/>
      <c r="C69" s="3"/>
      <c r="D69" s="40"/>
      <c r="E69" s="3"/>
      <c r="F69" s="3"/>
      <c r="G69" s="3"/>
      <c r="H69" s="40"/>
      <c r="I69" s="3"/>
      <c r="J69" s="3"/>
      <c r="K69" s="40"/>
      <c r="L69" s="3"/>
      <c r="M69" s="3"/>
      <c r="N69" s="3"/>
      <c r="O69" s="40"/>
      <c r="P69" s="32"/>
      <c r="Q69" s="32"/>
      <c r="R69" s="32"/>
      <c r="S69" s="32"/>
      <c r="T69" s="75"/>
      <c r="U69" s="32"/>
      <c r="V69" s="32"/>
      <c r="W69" s="32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</row>
    <row x14ac:dyDescent="0.25" r="70" customHeight="1" ht="18.75">
      <c r="A70" s="40"/>
      <c r="B70" s="3"/>
      <c r="C70" s="3"/>
      <c r="D70" s="40"/>
      <c r="E70" s="3"/>
      <c r="F70" s="3"/>
      <c r="G70" s="3"/>
      <c r="H70" s="40"/>
      <c r="I70" s="3"/>
      <c r="J70" s="3"/>
      <c r="K70" s="40"/>
      <c r="L70" s="3"/>
      <c r="M70" s="3"/>
      <c r="N70" s="3"/>
      <c r="O70" s="40"/>
      <c r="P70" s="32"/>
      <c r="Q70" s="32"/>
      <c r="R70" s="32"/>
      <c r="S70" s="32"/>
      <c r="T70" s="75"/>
      <c r="U70" s="32"/>
      <c r="V70" s="32"/>
      <c r="W70" s="32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</row>
    <row x14ac:dyDescent="0.25" r="71" customHeight="1" ht="18.75">
      <c r="A71" s="40"/>
      <c r="B71" s="3"/>
      <c r="C71" s="3"/>
      <c r="D71" s="40"/>
      <c r="E71" s="3"/>
      <c r="F71" s="3"/>
      <c r="G71" s="3"/>
      <c r="H71" s="40"/>
      <c r="I71" s="3"/>
      <c r="J71" s="3"/>
      <c r="K71" s="40"/>
      <c r="L71" s="3"/>
      <c r="M71" s="3"/>
      <c r="N71" s="3"/>
      <c r="O71" s="40"/>
      <c r="P71" s="32"/>
      <c r="Q71" s="32"/>
      <c r="R71" s="32"/>
      <c r="S71" s="32"/>
      <c r="T71" s="75"/>
      <c r="U71" s="32"/>
      <c r="V71" s="32"/>
      <c r="W71" s="32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</row>
    <row x14ac:dyDescent="0.25" r="72" customHeight="1" ht="18.75">
      <c r="A72" s="40"/>
      <c r="B72" s="3"/>
      <c r="C72" s="3"/>
      <c r="D72" s="40"/>
      <c r="E72" s="3"/>
      <c r="F72" s="3"/>
      <c r="G72" s="3"/>
      <c r="H72" s="40"/>
      <c r="I72" s="3"/>
      <c r="J72" s="3"/>
      <c r="K72" s="40"/>
      <c r="L72" s="3"/>
      <c r="M72" s="3"/>
      <c r="N72" s="3"/>
      <c r="O72" s="40"/>
      <c r="P72" s="32"/>
      <c r="Q72" s="32"/>
      <c r="R72" s="32"/>
      <c r="S72" s="32"/>
      <c r="T72" s="75"/>
      <c r="U72" s="32"/>
      <c r="V72" s="32"/>
      <c r="W72" s="32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</row>
    <row x14ac:dyDescent="0.25" r="73" customHeight="1" ht="18.75">
      <c r="A73" s="40"/>
      <c r="B73" s="3"/>
      <c r="C73" s="3"/>
      <c r="D73" s="40"/>
      <c r="E73" s="3"/>
      <c r="F73" s="3"/>
      <c r="G73" s="3"/>
      <c r="H73" s="40"/>
      <c r="I73" s="3"/>
      <c r="J73" s="3"/>
      <c r="K73" s="40"/>
      <c r="L73" s="3"/>
      <c r="M73" s="3"/>
      <c r="N73" s="3"/>
      <c r="O73" s="40"/>
      <c r="P73" s="32"/>
      <c r="Q73" s="32"/>
      <c r="R73" s="32"/>
      <c r="S73" s="32"/>
      <c r="T73" s="75"/>
      <c r="U73" s="32"/>
      <c r="V73" s="32"/>
      <c r="W73" s="32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</row>
    <row x14ac:dyDescent="0.25" r="74" customHeight="1" ht="18.75">
      <c r="A74" s="40"/>
      <c r="B74" s="3"/>
      <c r="C74" s="3"/>
      <c r="D74" s="40"/>
      <c r="E74" s="3"/>
      <c r="F74" s="3"/>
      <c r="G74" s="3"/>
      <c r="H74" s="40"/>
      <c r="I74" s="3"/>
      <c r="J74" s="3"/>
      <c r="K74" s="40"/>
      <c r="L74" s="3"/>
      <c r="M74" s="3"/>
      <c r="N74" s="3"/>
      <c r="O74" s="40"/>
      <c r="P74" s="32"/>
      <c r="Q74" s="32"/>
      <c r="R74" s="32"/>
      <c r="S74" s="32"/>
      <c r="T74" s="75"/>
      <c r="U74" s="32"/>
      <c r="V74" s="32"/>
      <c r="W74" s="32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</row>
    <row x14ac:dyDescent="0.25" r="75" customHeight="1" ht="18.75">
      <c r="A75" s="40"/>
      <c r="B75" s="3"/>
      <c r="C75" s="3"/>
      <c r="D75" s="40"/>
      <c r="E75" s="3"/>
      <c r="F75" s="3"/>
      <c r="G75" s="3"/>
      <c r="H75" s="40"/>
      <c r="I75" s="3"/>
      <c r="J75" s="3"/>
      <c r="K75" s="40"/>
      <c r="L75" s="3"/>
      <c r="M75" s="3"/>
      <c r="N75" s="3"/>
      <c r="O75" s="40"/>
      <c r="P75" s="32"/>
      <c r="Q75" s="32"/>
      <c r="R75" s="32"/>
      <c r="S75" s="32"/>
      <c r="T75" s="75"/>
      <c r="U75" s="32"/>
      <c r="V75" s="32"/>
      <c r="W75" s="32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</row>
    <row x14ac:dyDescent="0.25" r="76" customHeight="1" ht="18.75">
      <c r="A76" s="40"/>
      <c r="B76" s="3"/>
      <c r="C76" s="3"/>
      <c r="D76" s="40"/>
      <c r="E76" s="3"/>
      <c r="F76" s="3"/>
      <c r="G76" s="3"/>
      <c r="H76" s="40"/>
      <c r="I76" s="3"/>
      <c r="J76" s="3"/>
      <c r="K76" s="40"/>
      <c r="L76" s="3"/>
      <c r="M76" s="3"/>
      <c r="N76" s="3"/>
      <c r="O76" s="40"/>
      <c r="P76" s="32"/>
      <c r="Q76" s="32"/>
      <c r="R76" s="32"/>
      <c r="S76" s="32"/>
      <c r="T76" s="75"/>
      <c r="U76" s="32"/>
      <c r="V76" s="32"/>
      <c r="W76" s="32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</row>
    <row x14ac:dyDescent="0.25" r="77" customHeight="1" ht="18.75">
      <c r="A77" s="40"/>
      <c r="B77" s="3"/>
      <c r="C77" s="3"/>
      <c r="D77" s="40"/>
      <c r="E77" s="3"/>
      <c r="F77" s="3"/>
      <c r="G77" s="3"/>
      <c r="H77" s="40"/>
      <c r="I77" s="3"/>
      <c r="J77" s="3"/>
      <c r="K77" s="40"/>
      <c r="L77" s="3"/>
      <c r="M77" s="3"/>
      <c r="N77" s="3"/>
      <c r="O77" s="40"/>
      <c r="P77" s="32"/>
      <c r="Q77" s="32"/>
      <c r="R77" s="32"/>
      <c r="S77" s="32"/>
      <c r="T77" s="75"/>
      <c r="U77" s="32"/>
      <c r="V77" s="32"/>
      <c r="W77" s="32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</row>
    <row x14ac:dyDescent="0.25" r="78" customHeight="1" ht="18.75">
      <c r="A78" s="40"/>
      <c r="B78" s="3"/>
      <c r="C78" s="3"/>
      <c r="D78" s="40"/>
      <c r="E78" s="3"/>
      <c r="F78" s="3"/>
      <c r="G78" s="3"/>
      <c r="H78" s="40"/>
      <c r="I78" s="3"/>
      <c r="J78" s="3"/>
      <c r="K78" s="40"/>
      <c r="L78" s="3"/>
      <c r="M78" s="3"/>
      <c r="N78" s="3"/>
      <c r="O78" s="40"/>
      <c r="P78" s="32"/>
      <c r="Q78" s="32"/>
      <c r="R78" s="32"/>
      <c r="S78" s="32"/>
      <c r="T78" s="75"/>
      <c r="U78" s="32"/>
      <c r="V78" s="32"/>
      <c r="W78" s="32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</row>
    <row x14ac:dyDescent="0.25" r="79" customHeight="1" ht="18.75">
      <c r="A79" s="40"/>
      <c r="B79" s="3"/>
      <c r="C79" s="3"/>
      <c r="D79" s="40"/>
      <c r="E79" s="3"/>
      <c r="F79" s="3"/>
      <c r="G79" s="3"/>
      <c r="H79" s="40"/>
      <c r="I79" s="3"/>
      <c r="J79" s="3"/>
      <c r="K79" s="40"/>
      <c r="L79" s="3"/>
      <c r="M79" s="3"/>
      <c r="N79" s="3"/>
      <c r="O79" s="40"/>
      <c r="P79" s="32"/>
      <c r="Q79" s="32"/>
      <c r="R79" s="32"/>
      <c r="S79" s="32"/>
      <c r="T79" s="75"/>
      <c r="U79" s="32"/>
      <c r="V79" s="32"/>
      <c r="W79" s="32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</row>
    <row x14ac:dyDescent="0.25" r="80" customHeight="1" ht="18.75">
      <c r="A80" s="40"/>
      <c r="B80" s="3"/>
      <c r="C80" s="3"/>
      <c r="D80" s="40"/>
      <c r="E80" s="3"/>
      <c r="F80" s="3"/>
      <c r="G80" s="3"/>
      <c r="H80" s="40"/>
      <c r="I80" s="3"/>
      <c r="J80" s="3"/>
      <c r="K80" s="40"/>
      <c r="L80" s="3"/>
      <c r="M80" s="3"/>
      <c r="N80" s="3"/>
      <c r="O80" s="40"/>
      <c r="P80" s="32"/>
      <c r="Q80" s="32"/>
      <c r="R80" s="32"/>
      <c r="S80" s="32"/>
      <c r="T80" s="75"/>
      <c r="U80" s="32"/>
      <c r="V80" s="32"/>
      <c r="W80" s="32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</row>
    <row x14ac:dyDescent="0.25" r="81" customHeight="1" ht="18.75">
      <c r="A81" s="40"/>
      <c r="B81" s="3"/>
      <c r="C81" s="3"/>
      <c r="D81" s="40"/>
      <c r="E81" s="3"/>
      <c r="F81" s="3"/>
      <c r="G81" s="3"/>
      <c r="H81" s="40"/>
      <c r="I81" s="3"/>
      <c r="J81" s="3"/>
      <c r="K81" s="40"/>
      <c r="L81" s="3"/>
      <c r="M81" s="3"/>
      <c r="N81" s="3"/>
      <c r="O81" s="40"/>
      <c r="P81" s="32"/>
      <c r="Q81" s="32"/>
      <c r="R81" s="32"/>
      <c r="S81" s="32"/>
      <c r="T81" s="75"/>
      <c r="U81" s="32"/>
      <c r="V81" s="32"/>
      <c r="W81" s="32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</row>
    <row x14ac:dyDescent="0.25" r="82" customHeight="1" ht="18.75">
      <c r="A82" s="40"/>
      <c r="B82" s="3"/>
      <c r="C82" s="3"/>
      <c r="D82" s="40"/>
      <c r="E82" s="3"/>
      <c r="F82" s="3"/>
      <c r="G82" s="3"/>
      <c r="H82" s="40"/>
      <c r="I82" s="3"/>
      <c r="J82" s="3"/>
      <c r="K82" s="40"/>
      <c r="L82" s="3"/>
      <c r="M82" s="3"/>
      <c r="N82" s="3"/>
      <c r="O82" s="40"/>
      <c r="P82" s="32"/>
      <c r="Q82" s="32"/>
      <c r="R82" s="32"/>
      <c r="S82" s="32"/>
      <c r="T82" s="75"/>
      <c r="U82" s="32"/>
      <c r="V82" s="32"/>
      <c r="W82" s="32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</row>
    <row x14ac:dyDescent="0.25" r="83" customHeight="1" ht="18.75">
      <c r="A83" s="40"/>
      <c r="B83" s="3"/>
      <c r="C83" s="3"/>
      <c r="D83" s="40"/>
      <c r="E83" s="3"/>
      <c r="F83" s="3"/>
      <c r="G83" s="3"/>
      <c r="H83" s="40"/>
      <c r="I83" s="3"/>
      <c r="J83" s="3"/>
      <c r="K83" s="40"/>
      <c r="L83" s="3"/>
      <c r="M83" s="3"/>
      <c r="N83" s="3"/>
      <c r="O83" s="40"/>
      <c r="P83" s="32"/>
      <c r="Q83" s="32"/>
      <c r="R83" s="32"/>
      <c r="S83" s="32"/>
      <c r="T83" s="75"/>
      <c r="U83" s="32"/>
      <c r="V83" s="32"/>
      <c r="W83" s="32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</row>
    <row x14ac:dyDescent="0.25" r="84" customHeight="1" ht="18.75">
      <c r="A84" s="40"/>
      <c r="B84" s="3"/>
      <c r="C84" s="3"/>
      <c r="D84" s="40"/>
      <c r="E84" s="3"/>
      <c r="F84" s="3"/>
      <c r="G84" s="3"/>
      <c r="H84" s="40"/>
      <c r="I84" s="3"/>
      <c r="J84" s="3"/>
      <c r="K84" s="40"/>
      <c r="L84" s="3"/>
      <c r="M84" s="3"/>
      <c r="N84" s="3"/>
      <c r="O84" s="40"/>
      <c r="P84" s="32"/>
      <c r="Q84" s="32"/>
      <c r="R84" s="32"/>
      <c r="S84" s="32"/>
      <c r="T84" s="75"/>
      <c r="U84" s="32"/>
      <c r="V84" s="32"/>
      <c r="W84" s="32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</row>
    <row x14ac:dyDescent="0.25" r="85" customHeight="1" ht="18.75">
      <c r="A85" s="40"/>
      <c r="B85" s="3"/>
      <c r="C85" s="3"/>
      <c r="D85" s="40"/>
      <c r="E85" s="3"/>
      <c r="F85" s="3"/>
      <c r="G85" s="3"/>
      <c r="H85" s="40"/>
      <c r="I85" s="3"/>
      <c r="J85" s="3"/>
      <c r="K85" s="40"/>
      <c r="L85" s="3"/>
      <c r="M85" s="3"/>
      <c r="N85" s="3"/>
      <c r="O85" s="40"/>
      <c r="P85" s="32"/>
      <c r="Q85" s="32"/>
      <c r="R85" s="32"/>
      <c r="S85" s="32"/>
      <c r="T85" s="75"/>
      <c r="U85" s="32"/>
      <c r="V85" s="32"/>
      <c r="W85" s="32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</row>
    <row x14ac:dyDescent="0.25" r="86" customHeight="1" ht="18.75">
      <c r="A86" s="40"/>
      <c r="B86" s="3"/>
      <c r="C86" s="3"/>
      <c r="D86" s="40"/>
      <c r="E86" s="3"/>
      <c r="F86" s="3"/>
      <c r="G86" s="3"/>
      <c r="H86" s="40"/>
      <c r="I86" s="3"/>
      <c r="J86" s="3"/>
      <c r="K86" s="40"/>
      <c r="L86" s="3"/>
      <c r="M86" s="3"/>
      <c r="N86" s="3"/>
      <c r="O86" s="40"/>
      <c r="P86" s="32"/>
      <c r="Q86" s="32"/>
      <c r="R86" s="32"/>
      <c r="S86" s="32"/>
      <c r="T86" s="75"/>
      <c r="U86" s="32"/>
      <c r="V86" s="32"/>
      <c r="W86" s="32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</row>
    <row x14ac:dyDescent="0.25" r="87" customHeight="1" ht="18.75">
      <c r="A87" s="40"/>
      <c r="B87" s="3"/>
      <c r="C87" s="3"/>
      <c r="D87" s="40"/>
      <c r="E87" s="3"/>
      <c r="F87" s="3"/>
      <c r="G87" s="3"/>
      <c r="H87" s="40"/>
      <c r="I87" s="3"/>
      <c r="J87" s="3"/>
      <c r="K87" s="40"/>
      <c r="L87" s="3"/>
      <c r="M87" s="3"/>
      <c r="N87" s="3"/>
      <c r="O87" s="40"/>
      <c r="P87" s="32"/>
      <c r="Q87" s="32"/>
      <c r="R87" s="32"/>
      <c r="S87" s="32"/>
      <c r="T87" s="75"/>
      <c r="U87" s="32"/>
      <c r="V87" s="32"/>
      <c r="W87" s="32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</row>
    <row x14ac:dyDescent="0.25" r="88" customHeight="1" ht="18.75">
      <c r="A88" s="40"/>
      <c r="B88" s="3"/>
      <c r="C88" s="3"/>
      <c r="D88" s="40"/>
      <c r="E88" s="3"/>
      <c r="F88" s="3"/>
      <c r="G88" s="3"/>
      <c r="H88" s="40"/>
      <c r="I88" s="3"/>
      <c r="J88" s="3"/>
      <c r="K88" s="40"/>
      <c r="L88" s="3"/>
      <c r="M88" s="3"/>
      <c r="N88" s="3"/>
      <c r="O88" s="40"/>
      <c r="P88" s="32"/>
      <c r="Q88" s="32"/>
      <c r="R88" s="32"/>
      <c r="S88" s="32"/>
      <c r="T88" s="75"/>
      <c r="U88" s="32"/>
      <c r="V88" s="32"/>
      <c r="W88" s="32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</row>
    <row x14ac:dyDescent="0.25" r="89" customHeight="1" ht="18.75">
      <c r="A89" s="40"/>
      <c r="B89" s="3"/>
      <c r="C89" s="3"/>
      <c r="D89" s="40"/>
      <c r="E89" s="3"/>
      <c r="F89" s="3"/>
      <c r="G89" s="3"/>
      <c r="H89" s="40"/>
      <c r="I89" s="3"/>
      <c r="J89" s="3"/>
      <c r="K89" s="40"/>
      <c r="L89" s="3"/>
      <c r="M89" s="3"/>
      <c r="N89" s="3"/>
      <c r="O89" s="40"/>
      <c r="P89" s="32"/>
      <c r="Q89" s="32"/>
      <c r="R89" s="32"/>
      <c r="S89" s="32"/>
      <c r="T89" s="75"/>
      <c r="U89" s="32"/>
      <c r="V89" s="32"/>
      <c r="W89" s="32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</row>
    <row x14ac:dyDescent="0.25" r="90" customHeight="1" ht="18.75">
      <c r="A90" s="40"/>
      <c r="B90" s="3"/>
      <c r="C90" s="3"/>
      <c r="D90" s="40"/>
      <c r="E90" s="3"/>
      <c r="F90" s="3"/>
      <c r="G90" s="3"/>
      <c r="H90" s="40"/>
      <c r="I90" s="3"/>
      <c r="J90" s="3"/>
      <c r="K90" s="40"/>
      <c r="L90" s="3"/>
      <c r="M90" s="3"/>
      <c r="N90" s="3"/>
      <c r="O90" s="40"/>
      <c r="P90" s="32"/>
      <c r="Q90" s="32"/>
      <c r="R90" s="32"/>
      <c r="S90" s="32"/>
      <c r="T90" s="75"/>
      <c r="U90" s="32"/>
      <c r="V90" s="32"/>
      <c r="W90" s="32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</row>
    <row x14ac:dyDescent="0.25" r="91" customHeight="1" ht="18.75">
      <c r="A91" s="40"/>
      <c r="B91" s="3"/>
      <c r="C91" s="3"/>
      <c r="D91" s="40"/>
      <c r="E91" s="3"/>
      <c r="F91" s="3"/>
      <c r="G91" s="3"/>
      <c r="H91" s="40"/>
      <c r="I91" s="3"/>
      <c r="J91" s="3"/>
      <c r="K91" s="40"/>
      <c r="L91" s="3"/>
      <c r="M91" s="3"/>
      <c r="N91" s="3"/>
      <c r="O91" s="40"/>
      <c r="P91" s="32"/>
      <c r="Q91" s="32"/>
      <c r="R91" s="32"/>
      <c r="S91" s="32"/>
      <c r="T91" s="75"/>
      <c r="U91" s="32"/>
      <c r="V91" s="32"/>
      <c r="W91" s="32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</row>
    <row x14ac:dyDescent="0.25" r="92" customHeight="1" ht="18.75">
      <c r="A92" s="40"/>
      <c r="B92" s="3"/>
      <c r="C92" s="3"/>
      <c r="D92" s="40"/>
      <c r="E92" s="3"/>
      <c r="F92" s="3"/>
      <c r="G92" s="3"/>
      <c r="H92" s="40"/>
      <c r="I92" s="3"/>
      <c r="J92" s="3"/>
      <c r="K92" s="40"/>
      <c r="L92" s="3"/>
      <c r="M92" s="3"/>
      <c r="N92" s="3"/>
      <c r="O92" s="40"/>
      <c r="P92" s="32"/>
      <c r="Q92" s="32"/>
      <c r="R92" s="32"/>
      <c r="S92" s="32"/>
      <c r="T92" s="75"/>
      <c r="U92" s="32"/>
      <c r="V92" s="32"/>
      <c r="W92" s="32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</row>
    <row x14ac:dyDescent="0.25" r="93" customHeight="1" ht="18.75">
      <c r="A93" s="40"/>
      <c r="B93" s="3"/>
      <c r="C93" s="3"/>
      <c r="D93" s="40"/>
      <c r="E93" s="3"/>
      <c r="F93" s="3"/>
      <c r="G93" s="3"/>
      <c r="H93" s="40"/>
      <c r="I93" s="3"/>
      <c r="J93" s="3"/>
      <c r="K93" s="40"/>
      <c r="L93" s="3"/>
      <c r="M93" s="3"/>
      <c r="N93" s="3"/>
      <c r="O93" s="40"/>
      <c r="P93" s="32"/>
      <c r="Q93" s="32"/>
      <c r="R93" s="32"/>
      <c r="S93" s="32"/>
      <c r="T93" s="75"/>
      <c r="U93" s="32"/>
      <c r="V93" s="32"/>
      <c r="W93" s="32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</row>
    <row x14ac:dyDescent="0.25" r="94" customHeight="1" ht="18.75">
      <c r="A94" s="40"/>
      <c r="B94" s="3"/>
      <c r="C94" s="3"/>
      <c r="D94" s="40"/>
      <c r="E94" s="3"/>
      <c r="F94" s="3"/>
      <c r="G94" s="3"/>
      <c r="H94" s="40"/>
      <c r="I94" s="3"/>
      <c r="J94" s="3"/>
      <c r="K94" s="40"/>
      <c r="L94" s="3"/>
      <c r="M94" s="3"/>
      <c r="N94" s="3"/>
      <c r="O94" s="40"/>
      <c r="P94" s="32"/>
      <c r="Q94" s="32"/>
      <c r="R94" s="32"/>
      <c r="S94" s="32"/>
      <c r="T94" s="75"/>
      <c r="U94" s="32"/>
      <c r="V94" s="32"/>
      <c r="W94" s="32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</row>
    <row x14ac:dyDescent="0.25" r="95" customHeight="1" ht="18.75">
      <c r="A95" s="40"/>
      <c r="B95" s="3"/>
      <c r="C95" s="3"/>
      <c r="D95" s="40"/>
      <c r="E95" s="3"/>
      <c r="F95" s="3"/>
      <c r="G95" s="3"/>
      <c r="H95" s="40"/>
      <c r="I95" s="3"/>
      <c r="J95" s="3"/>
      <c r="K95" s="40"/>
      <c r="L95" s="3"/>
      <c r="M95" s="3"/>
      <c r="N95" s="3"/>
      <c r="O95" s="40"/>
      <c r="P95" s="32"/>
      <c r="Q95" s="32"/>
      <c r="R95" s="32"/>
      <c r="S95" s="32"/>
      <c r="T95" s="75"/>
      <c r="U95" s="32"/>
      <c r="V95" s="32"/>
      <c r="W95" s="32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</row>
    <row x14ac:dyDescent="0.25" r="96" customHeight="1" ht="18.75">
      <c r="A96" s="40"/>
      <c r="B96" s="3"/>
      <c r="C96" s="3"/>
      <c r="D96" s="40"/>
      <c r="E96" s="3"/>
      <c r="F96" s="3"/>
      <c r="G96" s="3"/>
      <c r="H96" s="40"/>
      <c r="I96" s="3"/>
      <c r="J96" s="3"/>
      <c r="K96" s="40"/>
      <c r="L96" s="3"/>
      <c r="M96" s="3"/>
      <c r="N96" s="3"/>
      <c r="O96" s="40"/>
      <c r="P96" s="32"/>
      <c r="Q96" s="32"/>
      <c r="R96" s="32"/>
      <c r="S96" s="32"/>
      <c r="T96" s="75"/>
      <c r="U96" s="32"/>
      <c r="V96" s="32"/>
      <c r="W96" s="32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</row>
    <row x14ac:dyDescent="0.25" r="97" customHeight="1" ht="18.75">
      <c r="A97" s="40"/>
      <c r="B97" s="3"/>
      <c r="C97" s="3"/>
      <c r="D97" s="40"/>
      <c r="E97" s="3"/>
      <c r="F97" s="3"/>
      <c r="G97" s="3"/>
      <c r="H97" s="40"/>
      <c r="I97" s="3"/>
      <c r="J97" s="3"/>
      <c r="K97" s="40"/>
      <c r="L97" s="3"/>
      <c r="M97" s="3"/>
      <c r="N97" s="3"/>
      <c r="O97" s="40"/>
      <c r="P97" s="32"/>
      <c r="Q97" s="32"/>
      <c r="R97" s="32"/>
      <c r="S97" s="32"/>
      <c r="T97" s="75"/>
      <c r="U97" s="32"/>
      <c r="V97" s="32"/>
      <c r="W97" s="32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</row>
    <row x14ac:dyDescent="0.25" r="98" customHeight="1" ht="18.75">
      <c r="A98" s="40"/>
      <c r="B98" s="3"/>
      <c r="C98" s="3"/>
      <c r="D98" s="40"/>
      <c r="E98" s="3"/>
      <c r="F98" s="3"/>
      <c r="G98" s="3"/>
      <c r="H98" s="40"/>
      <c r="I98" s="3"/>
      <c r="J98" s="3"/>
      <c r="K98" s="40"/>
      <c r="L98" s="3"/>
      <c r="M98" s="3"/>
      <c r="N98" s="3"/>
      <c r="O98" s="40"/>
      <c r="P98" s="32"/>
      <c r="Q98" s="32"/>
      <c r="R98" s="32"/>
      <c r="S98" s="32"/>
      <c r="T98" s="75"/>
      <c r="U98" s="32"/>
      <c r="V98" s="32"/>
      <c r="W98" s="32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</row>
    <row x14ac:dyDescent="0.25" r="99" customHeight="1" ht="18.75">
      <c r="A99" s="40"/>
      <c r="B99" s="3"/>
      <c r="C99" s="3"/>
      <c r="D99" s="40"/>
      <c r="E99" s="3"/>
      <c r="F99" s="3"/>
      <c r="G99" s="3"/>
      <c r="H99" s="40"/>
      <c r="I99" s="3"/>
      <c r="J99" s="3"/>
      <c r="K99" s="40"/>
      <c r="L99" s="3"/>
      <c r="M99" s="3"/>
      <c r="N99" s="3"/>
      <c r="O99" s="40"/>
      <c r="P99" s="32"/>
      <c r="Q99" s="32"/>
      <c r="R99" s="32"/>
      <c r="S99" s="32"/>
      <c r="T99" s="75"/>
      <c r="U99" s="32"/>
      <c r="V99" s="32"/>
      <c r="W99" s="32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</row>
    <row x14ac:dyDescent="0.25" r="100" customHeight="1" ht="18.75">
      <c r="A100" s="40"/>
      <c r="B100" s="3"/>
      <c r="C100" s="3"/>
      <c r="D100" s="40"/>
      <c r="E100" s="3"/>
      <c r="F100" s="3"/>
      <c r="G100" s="3"/>
      <c r="H100" s="40"/>
      <c r="I100" s="3"/>
      <c r="J100" s="3"/>
      <c r="K100" s="40"/>
      <c r="L100" s="3"/>
      <c r="M100" s="3"/>
      <c r="N100" s="3"/>
      <c r="O100" s="40"/>
      <c r="P100" s="32"/>
      <c r="Q100" s="32"/>
      <c r="R100" s="32"/>
      <c r="S100" s="32"/>
      <c r="T100" s="75"/>
      <c r="U100" s="32"/>
      <c r="V100" s="32"/>
      <c r="W100" s="32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</row>
    <row x14ac:dyDescent="0.25" r="101" customHeight="1" ht="18.75">
      <c r="A101" s="40"/>
      <c r="B101" s="3"/>
      <c r="C101" s="3"/>
      <c r="D101" s="40"/>
      <c r="E101" s="3"/>
      <c r="F101" s="3"/>
      <c r="G101" s="3"/>
      <c r="H101" s="40"/>
      <c r="I101" s="3"/>
      <c r="J101" s="3"/>
      <c r="K101" s="40"/>
      <c r="L101" s="3"/>
      <c r="M101" s="3"/>
      <c r="N101" s="3"/>
      <c r="O101" s="40"/>
      <c r="P101" s="32"/>
      <c r="Q101" s="32"/>
      <c r="R101" s="32"/>
      <c r="S101" s="32"/>
      <c r="T101" s="75"/>
      <c r="U101" s="32"/>
      <c r="V101" s="32"/>
      <c r="W101" s="32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</row>
    <row x14ac:dyDescent="0.25" r="102" customHeight="1" ht="18.75">
      <c r="A102" s="40"/>
      <c r="B102" s="3"/>
      <c r="C102" s="3"/>
      <c r="D102" s="40"/>
      <c r="E102" s="3"/>
      <c r="F102" s="3"/>
      <c r="G102" s="3"/>
      <c r="H102" s="40"/>
      <c r="I102" s="3"/>
      <c r="J102" s="3"/>
      <c r="K102" s="40"/>
      <c r="L102" s="3"/>
      <c r="M102" s="3"/>
      <c r="N102" s="3"/>
      <c r="O102" s="40"/>
      <c r="P102" s="32"/>
      <c r="Q102" s="32"/>
      <c r="R102" s="32"/>
      <c r="S102" s="32"/>
      <c r="T102" s="75"/>
      <c r="U102" s="32"/>
      <c r="V102" s="32"/>
      <c r="W102" s="32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</row>
    <row x14ac:dyDescent="0.25" r="103" customHeight="1" ht="18.75">
      <c r="A103" s="40"/>
      <c r="B103" s="3"/>
      <c r="C103" s="3"/>
      <c r="D103" s="40"/>
      <c r="E103" s="3"/>
      <c r="F103" s="3"/>
      <c r="G103" s="3"/>
      <c r="H103" s="40"/>
      <c r="I103" s="3"/>
      <c r="J103" s="3"/>
      <c r="K103" s="40"/>
      <c r="L103" s="3"/>
      <c r="M103" s="3"/>
      <c r="N103" s="3"/>
      <c r="O103" s="40"/>
      <c r="P103" s="32"/>
      <c r="Q103" s="32"/>
      <c r="R103" s="32"/>
      <c r="S103" s="32"/>
      <c r="T103" s="75"/>
      <c r="U103" s="32"/>
      <c r="V103" s="32"/>
      <c r="W103" s="32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</row>
    <row x14ac:dyDescent="0.25" r="104" customHeight="1" ht="18.75">
      <c r="A104" s="40"/>
      <c r="B104" s="3"/>
      <c r="C104" s="3"/>
      <c r="D104" s="40"/>
      <c r="E104" s="3"/>
      <c r="F104" s="3"/>
      <c r="G104" s="3"/>
      <c r="H104" s="40"/>
      <c r="I104" s="3"/>
      <c r="J104" s="3"/>
      <c r="K104" s="40"/>
      <c r="L104" s="3"/>
      <c r="M104" s="3"/>
      <c r="N104" s="3"/>
      <c r="O104" s="40"/>
      <c r="P104" s="32"/>
      <c r="Q104" s="32"/>
      <c r="R104" s="32"/>
      <c r="S104" s="32"/>
      <c r="T104" s="75"/>
      <c r="U104" s="32"/>
      <c r="V104" s="32"/>
      <c r="W104" s="32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</row>
    <row x14ac:dyDescent="0.25" r="105" customHeight="1" ht="18.75">
      <c r="A105" s="40"/>
      <c r="B105" s="3"/>
      <c r="C105" s="3"/>
      <c r="D105" s="40"/>
      <c r="E105" s="3"/>
      <c r="F105" s="3"/>
      <c r="G105" s="3"/>
      <c r="H105" s="40"/>
      <c r="I105" s="3"/>
      <c r="J105" s="3"/>
      <c r="K105" s="40"/>
      <c r="L105" s="3"/>
      <c r="M105" s="3"/>
      <c r="N105" s="3"/>
      <c r="O105" s="40"/>
      <c r="P105" s="32"/>
      <c r="Q105" s="32"/>
      <c r="R105" s="32"/>
      <c r="S105" s="32"/>
      <c r="T105" s="75"/>
      <c r="U105" s="32"/>
      <c r="V105" s="32"/>
      <c r="W105" s="32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</row>
    <row x14ac:dyDescent="0.25" r="106" customHeight="1" ht="18.75">
      <c r="A106" s="40"/>
      <c r="B106" s="3"/>
      <c r="C106" s="3"/>
      <c r="D106" s="40"/>
      <c r="E106" s="3"/>
      <c r="F106" s="3"/>
      <c r="G106" s="3"/>
      <c r="H106" s="40"/>
      <c r="I106" s="3"/>
      <c r="J106" s="3"/>
      <c r="K106" s="40"/>
      <c r="L106" s="3"/>
      <c r="M106" s="3"/>
      <c r="N106" s="3"/>
      <c r="O106" s="40"/>
      <c r="P106" s="32"/>
      <c r="Q106" s="32"/>
      <c r="R106" s="32"/>
      <c r="S106" s="32"/>
      <c r="T106" s="75"/>
      <c r="U106" s="32"/>
      <c r="V106" s="32"/>
      <c r="W106" s="32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</row>
    <row x14ac:dyDescent="0.25" r="107" customHeight="1" ht="18.75">
      <c r="A107" s="40"/>
      <c r="B107" s="3"/>
      <c r="C107" s="3"/>
      <c r="D107" s="40"/>
      <c r="E107" s="3"/>
      <c r="F107" s="3"/>
      <c r="G107" s="3"/>
      <c r="H107" s="40"/>
      <c r="I107" s="3"/>
      <c r="J107" s="3"/>
      <c r="K107" s="40"/>
      <c r="L107" s="3"/>
      <c r="M107" s="3"/>
      <c r="N107" s="3"/>
      <c r="O107" s="40"/>
      <c r="P107" s="32"/>
      <c r="Q107" s="32"/>
      <c r="R107" s="32"/>
      <c r="S107" s="32"/>
      <c r="T107" s="75"/>
      <c r="U107" s="32"/>
      <c r="V107" s="32"/>
      <c r="W107" s="32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</row>
    <row x14ac:dyDescent="0.25" r="108" customHeight="1" ht="18.75">
      <c r="A108" s="40"/>
      <c r="B108" s="3"/>
      <c r="C108" s="3"/>
      <c r="D108" s="40"/>
      <c r="E108" s="3"/>
      <c r="F108" s="3"/>
      <c r="G108" s="3"/>
      <c r="H108" s="40"/>
      <c r="I108" s="3"/>
      <c r="J108" s="3"/>
      <c r="K108" s="40"/>
      <c r="L108" s="3"/>
      <c r="M108" s="3"/>
      <c r="N108" s="3"/>
      <c r="O108" s="40"/>
      <c r="P108" s="32"/>
      <c r="Q108" s="32"/>
      <c r="R108" s="32"/>
      <c r="S108" s="32"/>
      <c r="T108" s="75"/>
      <c r="U108" s="32"/>
      <c r="V108" s="32"/>
      <c r="W108" s="32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</row>
    <row x14ac:dyDescent="0.25" r="109" customHeight="1" ht="18.75">
      <c r="A109" s="40"/>
      <c r="B109" s="3"/>
      <c r="C109" s="3"/>
      <c r="D109" s="40"/>
      <c r="E109" s="3"/>
      <c r="F109" s="3"/>
      <c r="G109" s="3"/>
      <c r="H109" s="40"/>
      <c r="I109" s="3"/>
      <c r="J109" s="3"/>
      <c r="K109" s="40"/>
      <c r="L109" s="3"/>
      <c r="M109" s="3"/>
      <c r="N109" s="3"/>
      <c r="O109" s="40"/>
      <c r="P109" s="32"/>
      <c r="Q109" s="32"/>
      <c r="R109" s="32"/>
      <c r="S109" s="32"/>
      <c r="T109" s="75"/>
      <c r="U109" s="32"/>
      <c r="V109" s="32"/>
      <c r="W109" s="32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</row>
    <row x14ac:dyDescent="0.25" r="110" customHeight="1" ht="18.75">
      <c r="A110" s="40"/>
      <c r="B110" s="3"/>
      <c r="C110" s="3"/>
      <c r="D110" s="40"/>
      <c r="E110" s="3"/>
      <c r="F110" s="3"/>
      <c r="G110" s="3"/>
      <c r="H110" s="40"/>
      <c r="I110" s="3"/>
      <c r="J110" s="3"/>
      <c r="K110" s="40"/>
      <c r="L110" s="3"/>
      <c r="M110" s="3"/>
      <c r="N110" s="3"/>
      <c r="O110" s="40"/>
      <c r="P110" s="32"/>
      <c r="Q110" s="32"/>
      <c r="R110" s="32"/>
      <c r="S110" s="32"/>
      <c r="T110" s="75"/>
      <c r="U110" s="32"/>
      <c r="V110" s="32"/>
      <c r="W110" s="32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</row>
    <row x14ac:dyDescent="0.25" r="111" customHeight="1" ht="18.75">
      <c r="A111" s="40"/>
      <c r="B111" s="3"/>
      <c r="C111" s="3"/>
      <c r="D111" s="40"/>
      <c r="E111" s="3"/>
      <c r="F111" s="3"/>
      <c r="G111" s="3"/>
      <c r="H111" s="40"/>
      <c r="I111" s="3"/>
      <c r="J111" s="3"/>
      <c r="K111" s="40"/>
      <c r="L111" s="3"/>
      <c r="M111" s="3"/>
      <c r="N111" s="3"/>
      <c r="O111" s="40"/>
      <c r="P111" s="32"/>
      <c r="Q111" s="32"/>
      <c r="R111" s="32"/>
      <c r="S111" s="32"/>
      <c r="T111" s="75"/>
      <c r="U111" s="32"/>
      <c r="V111" s="32"/>
      <c r="W111" s="32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</row>
    <row x14ac:dyDescent="0.25" r="112" customHeight="1" ht="18.75">
      <c r="A112" s="40"/>
      <c r="B112" s="3"/>
      <c r="C112" s="3"/>
      <c r="D112" s="40"/>
      <c r="E112" s="3"/>
      <c r="F112" s="3"/>
      <c r="G112" s="3"/>
      <c r="H112" s="40"/>
      <c r="I112" s="3"/>
      <c r="J112" s="3"/>
      <c r="K112" s="40"/>
      <c r="L112" s="3"/>
      <c r="M112" s="3"/>
      <c r="N112" s="3"/>
      <c r="O112" s="40"/>
      <c r="P112" s="32"/>
      <c r="Q112" s="32"/>
      <c r="R112" s="32"/>
      <c r="S112" s="32"/>
      <c r="T112" s="75"/>
      <c r="U112" s="32"/>
      <c r="V112" s="32"/>
      <c r="W112" s="32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</row>
    <row x14ac:dyDescent="0.25" r="113" customHeight="1" ht="18.75">
      <c r="A113" s="40"/>
      <c r="B113" s="3"/>
      <c r="C113" s="3"/>
      <c r="D113" s="40"/>
      <c r="E113" s="3"/>
      <c r="F113" s="3"/>
      <c r="G113" s="3"/>
      <c r="H113" s="40"/>
      <c r="I113" s="3"/>
      <c r="J113" s="3"/>
      <c r="K113" s="40"/>
      <c r="L113" s="3"/>
      <c r="M113" s="3"/>
      <c r="N113" s="3"/>
      <c r="O113" s="40"/>
      <c r="P113" s="32"/>
      <c r="Q113" s="32"/>
      <c r="R113" s="32"/>
      <c r="S113" s="32"/>
      <c r="T113" s="75"/>
      <c r="U113" s="32"/>
      <c r="V113" s="32"/>
      <c r="W113" s="32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</row>
    <row x14ac:dyDescent="0.25" r="114" customHeight="1" ht="18.75">
      <c r="A114" s="40"/>
      <c r="B114" s="3"/>
      <c r="C114" s="3"/>
      <c r="D114" s="40"/>
      <c r="E114" s="3"/>
      <c r="F114" s="3"/>
      <c r="G114" s="3"/>
      <c r="H114" s="40"/>
      <c r="I114" s="3"/>
      <c r="J114" s="3"/>
      <c r="K114" s="40"/>
      <c r="L114" s="3"/>
      <c r="M114" s="3"/>
      <c r="N114" s="3"/>
      <c r="O114" s="40"/>
      <c r="P114" s="32"/>
      <c r="Q114" s="32"/>
      <c r="R114" s="32"/>
      <c r="S114" s="32"/>
      <c r="T114" s="75"/>
      <c r="U114" s="32"/>
      <c r="V114" s="32"/>
      <c r="W114" s="32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</row>
    <row x14ac:dyDescent="0.25" r="115" customHeight="1" ht="18.75">
      <c r="A115" s="40"/>
      <c r="B115" s="3"/>
      <c r="C115" s="3"/>
      <c r="D115" s="40"/>
      <c r="E115" s="3"/>
      <c r="F115" s="3"/>
      <c r="G115" s="3"/>
      <c r="H115" s="40"/>
      <c r="I115" s="3"/>
      <c r="J115" s="3"/>
      <c r="K115" s="40"/>
      <c r="L115" s="3"/>
      <c r="M115" s="3"/>
      <c r="N115" s="3"/>
      <c r="O115" s="40"/>
      <c r="P115" s="32"/>
      <c r="Q115" s="32"/>
      <c r="R115" s="32"/>
      <c r="S115" s="32"/>
      <c r="T115" s="75"/>
      <c r="U115" s="32"/>
      <c r="V115" s="32"/>
      <c r="W115" s="32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</row>
    <row x14ac:dyDescent="0.25" r="116" customHeight="1" ht="18.75">
      <c r="A116" s="40"/>
      <c r="B116" s="3"/>
      <c r="C116" s="3"/>
      <c r="D116" s="40"/>
      <c r="E116" s="3"/>
      <c r="F116" s="3"/>
      <c r="G116" s="3"/>
      <c r="H116" s="40"/>
      <c r="I116" s="3"/>
      <c r="J116" s="3"/>
      <c r="K116" s="40"/>
      <c r="L116" s="3"/>
      <c r="M116" s="3"/>
      <c r="N116" s="3"/>
      <c r="O116" s="40"/>
      <c r="P116" s="32"/>
      <c r="Q116" s="32"/>
      <c r="R116" s="32"/>
      <c r="S116" s="32"/>
      <c r="T116" s="75"/>
      <c r="U116" s="32"/>
      <c r="V116" s="32"/>
      <c r="W116" s="32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</row>
    <row x14ac:dyDescent="0.25" r="117" customHeight="1" ht="18.75">
      <c r="A117" s="40"/>
      <c r="B117" s="3"/>
      <c r="C117" s="3"/>
      <c r="D117" s="40"/>
      <c r="E117" s="3"/>
      <c r="F117" s="3"/>
      <c r="G117" s="3"/>
      <c r="H117" s="40"/>
      <c r="I117" s="3"/>
      <c r="J117" s="3"/>
      <c r="K117" s="40"/>
      <c r="L117" s="3"/>
      <c r="M117" s="3"/>
      <c r="N117" s="3"/>
      <c r="O117" s="40"/>
      <c r="P117" s="32"/>
      <c r="Q117" s="32"/>
      <c r="R117" s="32"/>
      <c r="S117" s="32"/>
      <c r="T117" s="75"/>
      <c r="U117" s="32"/>
      <c r="V117" s="32"/>
      <c r="W117" s="32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</row>
    <row x14ac:dyDescent="0.25" r="118" customHeight="1" ht="18.75">
      <c r="A118" s="40"/>
      <c r="B118" s="3"/>
      <c r="C118" s="3"/>
      <c r="D118" s="40"/>
      <c r="E118" s="3"/>
      <c r="F118" s="3"/>
      <c r="G118" s="3"/>
      <c r="H118" s="40"/>
      <c r="I118" s="3"/>
      <c r="J118" s="3"/>
      <c r="K118" s="40"/>
      <c r="L118" s="3"/>
      <c r="M118" s="3"/>
      <c r="N118" s="3"/>
      <c r="O118" s="40"/>
      <c r="P118" s="32"/>
      <c r="Q118" s="32"/>
      <c r="R118" s="32"/>
      <c r="S118" s="32"/>
      <c r="T118" s="75"/>
      <c r="U118" s="32"/>
      <c r="V118" s="32"/>
      <c r="W118" s="32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</row>
    <row x14ac:dyDescent="0.25" r="119" customHeight="1" ht="18.75">
      <c r="A119" s="40"/>
      <c r="B119" s="3"/>
      <c r="C119" s="3"/>
      <c r="D119" s="40"/>
      <c r="E119" s="3"/>
      <c r="F119" s="3"/>
      <c r="G119" s="3"/>
      <c r="H119" s="40"/>
      <c r="I119" s="3"/>
      <c r="J119" s="3"/>
      <c r="K119" s="40"/>
      <c r="L119" s="3"/>
      <c r="M119" s="3"/>
      <c r="N119" s="3"/>
      <c r="O119" s="40"/>
      <c r="P119" s="32"/>
      <c r="Q119" s="32"/>
      <c r="R119" s="32"/>
      <c r="S119" s="32"/>
      <c r="T119" s="75"/>
      <c r="U119" s="32"/>
      <c r="V119" s="32"/>
      <c r="W119" s="32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</row>
    <row x14ac:dyDescent="0.25" r="120" customHeight="1" ht="18.75">
      <c r="A120" s="40"/>
      <c r="B120" s="3"/>
      <c r="C120" s="3"/>
      <c r="D120" s="40"/>
      <c r="E120" s="3"/>
      <c r="F120" s="3"/>
      <c r="G120" s="3"/>
      <c r="H120" s="40"/>
      <c r="I120" s="3"/>
      <c r="J120" s="3"/>
      <c r="K120" s="40"/>
      <c r="L120" s="3"/>
      <c r="M120" s="3"/>
      <c r="N120" s="3"/>
      <c r="O120" s="40"/>
      <c r="P120" s="32"/>
      <c r="Q120" s="32"/>
      <c r="R120" s="32"/>
      <c r="S120" s="32"/>
      <c r="T120" s="75"/>
      <c r="U120" s="32"/>
      <c r="V120" s="32"/>
      <c r="W120" s="32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</row>
    <row x14ac:dyDescent="0.25" r="121" customHeight="1" ht="18.75">
      <c r="A121" s="40"/>
      <c r="B121" s="3"/>
      <c r="C121" s="3"/>
      <c r="D121" s="40"/>
      <c r="E121" s="3"/>
      <c r="F121" s="3"/>
      <c r="G121" s="3"/>
      <c r="H121" s="40"/>
      <c r="I121" s="3"/>
      <c r="J121" s="3"/>
      <c r="K121" s="40"/>
      <c r="L121" s="3"/>
      <c r="M121" s="3"/>
      <c r="N121" s="3"/>
      <c r="O121" s="40"/>
      <c r="P121" s="32"/>
      <c r="Q121" s="32"/>
      <c r="R121" s="32"/>
      <c r="S121" s="32"/>
      <c r="T121" s="75"/>
      <c r="U121" s="32"/>
      <c r="V121" s="32"/>
      <c r="W121" s="32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</row>
    <row x14ac:dyDescent="0.25" r="122" customHeight="1" ht="18.75">
      <c r="A122" s="40"/>
      <c r="B122" s="3"/>
      <c r="C122" s="3"/>
      <c r="D122" s="40"/>
      <c r="E122" s="3"/>
      <c r="F122" s="3"/>
      <c r="G122" s="3"/>
      <c r="H122" s="40"/>
      <c r="I122" s="3"/>
      <c r="J122" s="3"/>
      <c r="K122" s="40"/>
      <c r="L122" s="3"/>
      <c r="M122" s="3"/>
      <c r="N122" s="3"/>
      <c r="O122" s="40"/>
      <c r="P122" s="32"/>
      <c r="Q122" s="32"/>
      <c r="R122" s="32"/>
      <c r="S122" s="32"/>
      <c r="T122" s="75"/>
      <c r="U122" s="32"/>
      <c r="V122" s="32"/>
      <c r="W122" s="32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</row>
    <row x14ac:dyDescent="0.25" r="123" customHeight="1" ht="18.75">
      <c r="A123" s="40"/>
      <c r="B123" s="3"/>
      <c r="C123" s="3"/>
      <c r="D123" s="40"/>
      <c r="E123" s="3"/>
      <c r="F123" s="3"/>
      <c r="G123" s="3"/>
      <c r="H123" s="40"/>
      <c r="I123" s="3"/>
      <c r="J123" s="3"/>
      <c r="K123" s="40"/>
      <c r="L123" s="3"/>
      <c r="M123" s="3"/>
      <c r="N123" s="3"/>
      <c r="O123" s="40"/>
      <c r="P123" s="32"/>
      <c r="Q123" s="32"/>
      <c r="R123" s="32"/>
      <c r="S123" s="32"/>
      <c r="T123" s="75"/>
      <c r="U123" s="32"/>
      <c r="V123" s="32"/>
      <c r="W123" s="32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</row>
    <row x14ac:dyDescent="0.25" r="124" customHeight="1" ht="18.75">
      <c r="A124" s="40"/>
      <c r="B124" s="3"/>
      <c r="C124" s="3"/>
      <c r="D124" s="40"/>
      <c r="E124" s="3"/>
      <c r="F124" s="3"/>
      <c r="G124" s="3"/>
      <c r="H124" s="40"/>
      <c r="I124" s="3"/>
      <c r="J124" s="3"/>
      <c r="K124" s="40"/>
      <c r="L124" s="3"/>
      <c r="M124" s="3"/>
      <c r="N124" s="3"/>
      <c r="O124" s="40"/>
      <c r="P124" s="32"/>
      <c r="Q124" s="32"/>
      <c r="R124" s="32"/>
      <c r="S124" s="32"/>
      <c r="T124" s="75"/>
      <c r="U124" s="32"/>
      <c r="V124" s="32"/>
      <c r="W124" s="32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</row>
    <row x14ac:dyDescent="0.25" r="125" customHeight="1" ht="18.75">
      <c r="A125" s="40"/>
      <c r="B125" s="3"/>
      <c r="C125" s="3"/>
      <c r="D125" s="40"/>
      <c r="E125" s="3"/>
      <c r="F125" s="3"/>
      <c r="G125" s="3"/>
      <c r="H125" s="40"/>
      <c r="I125" s="3"/>
      <c r="J125" s="3"/>
      <c r="K125" s="40"/>
      <c r="L125" s="3"/>
      <c r="M125" s="3"/>
      <c r="N125" s="3"/>
      <c r="O125" s="40"/>
      <c r="P125" s="32"/>
      <c r="Q125" s="32"/>
      <c r="R125" s="32"/>
      <c r="S125" s="32"/>
      <c r="T125" s="75"/>
      <c r="U125" s="32"/>
      <c r="V125" s="32"/>
      <c r="W125" s="32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</row>
    <row x14ac:dyDescent="0.25" r="126" customHeight="1" ht="18.75">
      <c r="A126" s="40"/>
      <c r="B126" s="3"/>
      <c r="C126" s="3"/>
      <c r="D126" s="40"/>
      <c r="E126" s="3"/>
      <c r="F126" s="3"/>
      <c r="G126" s="3"/>
      <c r="H126" s="40"/>
      <c r="I126" s="3"/>
      <c r="J126" s="3"/>
      <c r="K126" s="40"/>
      <c r="L126" s="3"/>
      <c r="M126" s="3"/>
      <c r="N126" s="3"/>
      <c r="O126" s="40"/>
      <c r="P126" s="32"/>
      <c r="Q126" s="32"/>
      <c r="R126" s="32"/>
      <c r="S126" s="32"/>
      <c r="T126" s="75"/>
      <c r="U126" s="32"/>
      <c r="V126" s="32"/>
      <c r="W126" s="32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</row>
    <row x14ac:dyDescent="0.25" r="127" customHeight="1" ht="18.75">
      <c r="A127" s="40"/>
      <c r="B127" s="3"/>
      <c r="C127" s="3"/>
      <c r="D127" s="40"/>
      <c r="E127" s="3"/>
      <c r="F127" s="3"/>
      <c r="G127" s="3"/>
      <c r="H127" s="40"/>
      <c r="I127" s="3"/>
      <c r="J127" s="3"/>
      <c r="K127" s="40"/>
      <c r="L127" s="3"/>
      <c r="M127" s="3"/>
      <c r="N127" s="3"/>
      <c r="O127" s="40"/>
      <c r="P127" s="32"/>
      <c r="Q127" s="32"/>
      <c r="R127" s="32"/>
      <c r="S127" s="32"/>
      <c r="T127" s="75"/>
      <c r="U127" s="32"/>
      <c r="V127" s="32"/>
      <c r="W127" s="32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</row>
    <row x14ac:dyDescent="0.25" r="128" customHeight="1" ht="18.75">
      <c r="A128" s="40"/>
      <c r="B128" s="3"/>
      <c r="C128" s="3"/>
      <c r="D128" s="40"/>
      <c r="E128" s="3"/>
      <c r="F128" s="3"/>
      <c r="G128" s="3"/>
      <c r="H128" s="40"/>
      <c r="I128" s="3"/>
      <c r="J128" s="3"/>
      <c r="K128" s="40"/>
      <c r="L128" s="3"/>
      <c r="M128" s="3"/>
      <c r="N128" s="3"/>
      <c r="O128" s="40"/>
      <c r="P128" s="32"/>
      <c r="Q128" s="32"/>
      <c r="R128" s="32"/>
      <c r="S128" s="32"/>
      <c r="T128" s="75"/>
      <c r="U128" s="32"/>
      <c r="V128" s="32"/>
      <c r="W128" s="32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</row>
    <row x14ac:dyDescent="0.25" r="129" customHeight="1" ht="18.75">
      <c r="A129" s="40"/>
      <c r="B129" s="3"/>
      <c r="C129" s="3"/>
      <c r="D129" s="40"/>
      <c r="E129" s="3"/>
      <c r="F129" s="3"/>
      <c r="G129" s="3"/>
      <c r="H129" s="40"/>
      <c r="I129" s="3"/>
      <c r="J129" s="3"/>
      <c r="K129" s="40"/>
      <c r="L129" s="3"/>
      <c r="M129" s="3"/>
      <c r="N129" s="3"/>
      <c r="O129" s="40"/>
      <c r="P129" s="32"/>
      <c r="Q129" s="32"/>
      <c r="R129" s="32"/>
      <c r="S129" s="32"/>
      <c r="T129" s="75"/>
      <c r="U129" s="32"/>
      <c r="V129" s="32"/>
      <c r="W129" s="32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</row>
    <row x14ac:dyDescent="0.25" r="130" customHeight="1" ht="18.75">
      <c r="A130" s="40"/>
      <c r="B130" s="3"/>
      <c r="C130" s="3"/>
      <c r="D130" s="40"/>
      <c r="E130" s="3"/>
      <c r="F130" s="3"/>
      <c r="G130" s="3"/>
      <c r="H130" s="40"/>
      <c r="I130" s="3"/>
      <c r="J130" s="3"/>
      <c r="K130" s="40"/>
      <c r="L130" s="3"/>
      <c r="M130" s="3"/>
      <c r="N130" s="3"/>
      <c r="O130" s="40"/>
      <c r="P130" s="32"/>
      <c r="Q130" s="32"/>
      <c r="R130" s="32"/>
      <c r="S130" s="32"/>
      <c r="T130" s="75"/>
      <c r="U130" s="32"/>
      <c r="V130" s="32"/>
      <c r="W130" s="32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</row>
    <row x14ac:dyDescent="0.25" r="131" customHeight="1" ht="18.75">
      <c r="A131" s="40"/>
      <c r="B131" s="3"/>
      <c r="C131" s="3"/>
      <c r="D131" s="40"/>
      <c r="E131" s="3"/>
      <c r="F131" s="3"/>
      <c r="G131" s="3"/>
      <c r="H131" s="40"/>
      <c r="I131" s="3"/>
      <c r="J131" s="3"/>
      <c r="K131" s="40"/>
      <c r="L131" s="3"/>
      <c r="M131" s="3"/>
      <c r="N131" s="3"/>
      <c r="O131" s="40"/>
      <c r="P131" s="32"/>
      <c r="Q131" s="32"/>
      <c r="R131" s="32"/>
      <c r="S131" s="32"/>
      <c r="T131" s="75"/>
      <c r="U131" s="32"/>
      <c r="V131" s="32"/>
      <c r="W131" s="32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</row>
    <row x14ac:dyDescent="0.25" r="132" customHeight="1" ht="18.75">
      <c r="A132" s="40"/>
      <c r="B132" s="3"/>
      <c r="C132" s="3"/>
      <c r="D132" s="40"/>
      <c r="E132" s="3"/>
      <c r="F132" s="3"/>
      <c r="G132" s="3"/>
      <c r="H132" s="40"/>
      <c r="I132" s="3"/>
      <c r="J132" s="3"/>
      <c r="K132" s="40"/>
      <c r="L132" s="3"/>
      <c r="M132" s="3"/>
      <c r="N132" s="3"/>
      <c r="O132" s="40"/>
      <c r="P132" s="32"/>
      <c r="Q132" s="32"/>
      <c r="R132" s="32"/>
      <c r="S132" s="32"/>
      <c r="T132" s="75"/>
      <c r="U132" s="32"/>
      <c r="V132" s="32"/>
      <c r="W132" s="32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</row>
    <row x14ac:dyDescent="0.25" r="133" customHeight="1" ht="18.75">
      <c r="A133" s="40"/>
      <c r="B133" s="3"/>
      <c r="C133" s="3"/>
      <c r="D133" s="40"/>
      <c r="E133" s="3"/>
      <c r="F133" s="3"/>
      <c r="G133" s="3"/>
      <c r="H133" s="40"/>
      <c r="I133" s="3"/>
      <c r="J133" s="3"/>
      <c r="K133" s="40"/>
      <c r="L133" s="3"/>
      <c r="M133" s="3"/>
      <c r="N133" s="3"/>
      <c r="O133" s="40"/>
      <c r="P133" s="32"/>
      <c r="Q133" s="32"/>
      <c r="R133" s="32"/>
      <c r="S133" s="32"/>
      <c r="T133" s="75"/>
      <c r="U133" s="32"/>
      <c r="V133" s="32"/>
      <c r="W133" s="32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</row>
    <row x14ac:dyDescent="0.25" r="134" customHeight="1" ht="18.75">
      <c r="A134" s="40"/>
      <c r="B134" s="3"/>
      <c r="C134" s="3"/>
      <c r="D134" s="40"/>
      <c r="E134" s="3"/>
      <c r="F134" s="3"/>
      <c r="G134" s="3"/>
      <c r="H134" s="40"/>
      <c r="I134" s="3"/>
      <c r="J134" s="3"/>
      <c r="K134" s="40"/>
      <c r="L134" s="3"/>
      <c r="M134" s="3"/>
      <c r="N134" s="3"/>
      <c r="O134" s="40"/>
      <c r="P134" s="32"/>
      <c r="Q134" s="32"/>
      <c r="R134" s="32"/>
      <c r="S134" s="32"/>
      <c r="T134" s="75"/>
      <c r="U134" s="32"/>
      <c r="V134" s="32"/>
      <c r="W134" s="32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</row>
    <row x14ac:dyDescent="0.25" r="135" customHeight="1" ht="18.75">
      <c r="A135" s="40"/>
      <c r="B135" s="3"/>
      <c r="C135" s="3"/>
      <c r="D135" s="40"/>
      <c r="E135" s="3"/>
      <c r="F135" s="3"/>
      <c r="G135" s="3"/>
      <c r="H135" s="40"/>
      <c r="I135" s="3"/>
      <c r="J135" s="3"/>
      <c r="K135" s="40"/>
      <c r="L135" s="3"/>
      <c r="M135" s="3"/>
      <c r="N135" s="3"/>
      <c r="O135" s="40"/>
      <c r="P135" s="32"/>
      <c r="Q135" s="32"/>
      <c r="R135" s="32"/>
      <c r="S135" s="32"/>
      <c r="T135" s="75"/>
      <c r="U135" s="32"/>
      <c r="V135" s="32"/>
      <c r="W135" s="32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</row>
    <row x14ac:dyDescent="0.25" r="136" customHeight="1" ht="18.75">
      <c r="A136" s="40"/>
      <c r="B136" s="3"/>
      <c r="C136" s="3"/>
      <c r="D136" s="40"/>
      <c r="E136" s="3"/>
      <c r="F136" s="3"/>
      <c r="G136" s="3"/>
      <c r="H136" s="40"/>
      <c r="I136" s="3"/>
      <c r="J136" s="3"/>
      <c r="K136" s="40"/>
      <c r="L136" s="3"/>
      <c r="M136" s="3"/>
      <c r="N136" s="3"/>
      <c r="O136" s="40"/>
      <c r="P136" s="32"/>
      <c r="Q136" s="32"/>
      <c r="R136" s="32"/>
      <c r="S136" s="32"/>
      <c r="T136" s="75"/>
      <c r="U136" s="32"/>
      <c r="V136" s="32"/>
      <c r="W136" s="32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</row>
    <row x14ac:dyDescent="0.25" r="137" customHeight="1" ht="18.75">
      <c r="A137" s="40"/>
      <c r="B137" s="3"/>
      <c r="C137" s="3"/>
      <c r="D137" s="40"/>
      <c r="E137" s="3"/>
      <c r="F137" s="3"/>
      <c r="G137" s="3"/>
      <c r="H137" s="40"/>
      <c r="I137" s="3"/>
      <c r="J137" s="3"/>
      <c r="K137" s="40"/>
      <c r="L137" s="3"/>
      <c r="M137" s="3"/>
      <c r="N137" s="3"/>
      <c r="O137" s="40"/>
      <c r="P137" s="32"/>
      <c r="Q137" s="32"/>
      <c r="R137" s="32"/>
      <c r="S137" s="32"/>
      <c r="T137" s="75"/>
      <c r="U137" s="32"/>
      <c r="V137" s="32"/>
      <c r="W137" s="32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</row>
    <row x14ac:dyDescent="0.25" r="138" customHeight="1" ht="18.75">
      <c r="A138" s="40"/>
      <c r="B138" s="3"/>
      <c r="C138" s="3"/>
      <c r="D138" s="40"/>
      <c r="E138" s="3"/>
      <c r="F138" s="3"/>
      <c r="G138" s="3"/>
      <c r="H138" s="40"/>
      <c r="I138" s="3"/>
      <c r="J138" s="3"/>
      <c r="K138" s="40"/>
      <c r="L138" s="3"/>
      <c r="M138" s="3"/>
      <c r="N138" s="3"/>
      <c r="O138" s="40"/>
      <c r="P138" s="32"/>
      <c r="Q138" s="32"/>
      <c r="R138" s="32"/>
      <c r="S138" s="32"/>
      <c r="T138" s="75"/>
      <c r="U138" s="32"/>
      <c r="V138" s="32"/>
      <c r="W138" s="32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</row>
    <row x14ac:dyDescent="0.25" r="139" customHeight="1" ht="18.75">
      <c r="A139" s="40"/>
      <c r="B139" s="3"/>
      <c r="C139" s="3"/>
      <c r="D139" s="40"/>
      <c r="E139" s="3"/>
      <c r="F139" s="3"/>
      <c r="G139" s="3"/>
      <c r="H139" s="40"/>
      <c r="I139" s="3"/>
      <c r="J139" s="3"/>
      <c r="K139" s="40"/>
      <c r="L139" s="3"/>
      <c r="M139" s="3"/>
      <c r="N139" s="3"/>
      <c r="O139" s="40"/>
      <c r="P139" s="32"/>
      <c r="Q139" s="32"/>
      <c r="R139" s="32"/>
      <c r="S139" s="32"/>
      <c r="T139" s="75"/>
      <c r="U139" s="32"/>
      <c r="V139" s="32"/>
      <c r="W139" s="32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</row>
    <row x14ac:dyDescent="0.25" r="140" customHeight="1" ht="18.75">
      <c r="A140" s="40"/>
      <c r="B140" s="3"/>
      <c r="C140" s="3"/>
      <c r="D140" s="40"/>
      <c r="E140" s="3"/>
      <c r="F140" s="3"/>
      <c r="G140" s="3"/>
      <c r="H140" s="40"/>
      <c r="I140" s="3"/>
      <c r="J140" s="3"/>
      <c r="K140" s="40"/>
      <c r="L140" s="3"/>
      <c r="M140" s="3"/>
      <c r="N140" s="3"/>
      <c r="O140" s="40"/>
      <c r="P140" s="32"/>
      <c r="Q140" s="32"/>
      <c r="R140" s="32"/>
      <c r="S140" s="32"/>
      <c r="T140" s="75"/>
      <c r="U140" s="32"/>
      <c r="V140" s="32"/>
      <c r="W140" s="32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</row>
    <row x14ac:dyDescent="0.25" r="141" customHeight="1" ht="18.75">
      <c r="A141" s="40"/>
      <c r="B141" s="3"/>
      <c r="C141" s="3"/>
      <c r="D141" s="40"/>
      <c r="E141" s="3"/>
      <c r="F141" s="3"/>
      <c r="G141" s="3"/>
      <c r="H141" s="40"/>
      <c r="I141" s="3"/>
      <c r="J141" s="3"/>
      <c r="K141" s="40"/>
      <c r="L141" s="3"/>
      <c r="M141" s="3"/>
      <c r="N141" s="3"/>
      <c r="O141" s="40"/>
      <c r="P141" s="32"/>
      <c r="Q141" s="32"/>
      <c r="R141" s="32"/>
      <c r="S141" s="32"/>
      <c r="T141" s="75"/>
      <c r="U141" s="32"/>
      <c r="V141" s="32"/>
      <c r="W141" s="32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</row>
    <row x14ac:dyDescent="0.25" r="142" customHeight="1" ht="18.75">
      <c r="A142" s="40"/>
      <c r="B142" s="3"/>
      <c r="C142" s="3"/>
      <c r="D142" s="40"/>
      <c r="E142" s="3"/>
      <c r="F142" s="3"/>
      <c r="G142" s="3"/>
      <c r="H142" s="40"/>
      <c r="I142" s="3"/>
      <c r="J142" s="3"/>
      <c r="K142" s="40"/>
      <c r="L142" s="3"/>
      <c r="M142" s="3"/>
      <c r="N142" s="3"/>
      <c r="O142" s="40"/>
      <c r="P142" s="32"/>
      <c r="Q142" s="32"/>
      <c r="R142" s="32"/>
      <c r="S142" s="32"/>
      <c r="T142" s="75"/>
      <c r="U142" s="32"/>
      <c r="V142" s="32"/>
      <c r="W142" s="32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</row>
    <row x14ac:dyDescent="0.25" r="143" customHeight="1" ht="18.75">
      <c r="A143" s="40"/>
      <c r="B143" s="3"/>
      <c r="C143" s="3"/>
      <c r="D143" s="40"/>
      <c r="E143" s="3"/>
      <c r="F143" s="3"/>
      <c r="G143" s="3"/>
      <c r="H143" s="40"/>
      <c r="I143" s="3"/>
      <c r="J143" s="3"/>
      <c r="K143" s="40"/>
      <c r="L143" s="3"/>
      <c r="M143" s="3"/>
      <c r="N143" s="3"/>
      <c r="O143" s="40"/>
      <c r="P143" s="32"/>
      <c r="Q143" s="32"/>
      <c r="R143" s="32"/>
      <c r="S143" s="32"/>
      <c r="T143" s="75"/>
      <c r="U143" s="32"/>
      <c r="V143" s="32"/>
      <c r="W143" s="32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</row>
    <row x14ac:dyDescent="0.25" r="144" customHeight="1" ht="18.75">
      <c r="A144" s="40"/>
      <c r="B144" s="3"/>
      <c r="C144" s="3"/>
      <c r="D144" s="40"/>
      <c r="E144" s="3"/>
      <c r="F144" s="3"/>
      <c r="G144" s="3"/>
      <c r="H144" s="40"/>
      <c r="I144" s="3"/>
      <c r="J144" s="3"/>
      <c r="K144" s="40"/>
      <c r="L144" s="3"/>
      <c r="M144" s="3"/>
      <c r="N144" s="3"/>
      <c r="O144" s="40"/>
      <c r="P144" s="32"/>
      <c r="Q144" s="32"/>
      <c r="R144" s="32"/>
      <c r="S144" s="32"/>
      <c r="T144" s="75"/>
      <c r="U144" s="32"/>
      <c r="V144" s="32"/>
      <c r="W144" s="32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</row>
    <row x14ac:dyDescent="0.25" r="145" customHeight="1" ht="18.75">
      <c r="A145" s="40"/>
      <c r="B145" s="3"/>
      <c r="C145" s="3"/>
      <c r="D145" s="40"/>
      <c r="E145" s="3"/>
      <c r="F145" s="3"/>
      <c r="G145" s="3"/>
      <c r="H145" s="40"/>
      <c r="I145" s="3"/>
      <c r="J145" s="3"/>
      <c r="K145" s="40"/>
      <c r="L145" s="3"/>
      <c r="M145" s="3"/>
      <c r="N145" s="3"/>
      <c r="O145" s="40"/>
      <c r="P145" s="32"/>
      <c r="Q145" s="32"/>
      <c r="R145" s="32"/>
      <c r="S145" s="32"/>
      <c r="T145" s="75"/>
      <c r="U145" s="32"/>
      <c r="V145" s="32"/>
      <c r="W145" s="32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</row>
    <row x14ac:dyDescent="0.25" r="146" customHeight="1" ht="18.75">
      <c r="A146" s="40"/>
      <c r="B146" s="3"/>
      <c r="C146" s="3"/>
      <c r="D146" s="40"/>
      <c r="E146" s="3"/>
      <c r="F146" s="3"/>
      <c r="G146" s="3"/>
      <c r="H146" s="40"/>
      <c r="I146" s="3"/>
      <c r="J146" s="3"/>
      <c r="K146" s="40"/>
      <c r="L146" s="3"/>
      <c r="M146" s="3"/>
      <c r="N146" s="3"/>
      <c r="O146" s="40"/>
      <c r="P146" s="32"/>
      <c r="Q146" s="32"/>
      <c r="R146" s="32"/>
      <c r="S146" s="32"/>
      <c r="T146" s="75"/>
      <c r="U146" s="32"/>
      <c r="V146" s="32"/>
      <c r="W146" s="32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</row>
    <row x14ac:dyDescent="0.25" r="147" customHeight="1" ht="18.75">
      <c r="A147" s="40"/>
      <c r="B147" s="3"/>
      <c r="C147" s="3"/>
      <c r="D147" s="40"/>
      <c r="E147" s="3"/>
      <c r="F147" s="3"/>
      <c r="G147" s="3"/>
      <c r="H147" s="40"/>
      <c r="I147" s="3"/>
      <c r="J147" s="3"/>
      <c r="K147" s="40"/>
      <c r="L147" s="3"/>
      <c r="M147" s="3"/>
      <c r="N147" s="3"/>
      <c r="O147" s="40"/>
      <c r="P147" s="32"/>
      <c r="Q147" s="32"/>
      <c r="R147" s="32"/>
      <c r="S147" s="32"/>
      <c r="T147" s="75"/>
      <c r="U147" s="32"/>
      <c r="V147" s="32"/>
      <c r="W147" s="32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</row>
    <row x14ac:dyDescent="0.25" r="148" customHeight="1" ht="18.75">
      <c r="A148" s="40"/>
      <c r="B148" s="3"/>
      <c r="C148" s="3"/>
      <c r="D148" s="40"/>
      <c r="E148" s="3"/>
      <c r="F148" s="3"/>
      <c r="G148" s="3"/>
      <c r="H148" s="40"/>
      <c r="I148" s="3"/>
      <c r="J148" s="3"/>
      <c r="K148" s="40"/>
      <c r="L148" s="3"/>
      <c r="M148" s="3"/>
      <c r="N148" s="3"/>
      <c r="O148" s="40"/>
      <c r="P148" s="32"/>
      <c r="Q148" s="32"/>
      <c r="R148" s="32"/>
      <c r="S148" s="32"/>
      <c r="T148" s="75"/>
      <c r="U148" s="32"/>
      <c r="V148" s="32"/>
      <c r="W148" s="32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</row>
    <row x14ac:dyDescent="0.25" r="149" customHeight="1" ht="18.75">
      <c r="A149" s="40"/>
      <c r="B149" s="3"/>
      <c r="C149" s="3"/>
      <c r="D149" s="40"/>
      <c r="E149" s="3"/>
      <c r="F149" s="3"/>
      <c r="G149" s="3"/>
      <c r="H149" s="40"/>
      <c r="I149" s="3"/>
      <c r="J149" s="3"/>
      <c r="K149" s="40"/>
      <c r="L149" s="3"/>
      <c r="M149" s="3"/>
      <c r="N149" s="3"/>
      <c r="O149" s="40"/>
      <c r="P149" s="32"/>
      <c r="Q149" s="32"/>
      <c r="R149" s="32"/>
      <c r="S149" s="32"/>
      <c r="T149" s="75"/>
      <c r="U149" s="32"/>
      <c r="V149" s="32"/>
      <c r="W149" s="32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</row>
    <row x14ac:dyDescent="0.25" r="150" customHeight="1" ht="18.75">
      <c r="A150" s="40"/>
      <c r="B150" s="3"/>
      <c r="C150" s="3"/>
      <c r="D150" s="40"/>
      <c r="E150" s="3"/>
      <c r="F150" s="3"/>
      <c r="G150" s="3"/>
      <c r="H150" s="40"/>
      <c r="I150" s="3"/>
      <c r="J150" s="3"/>
      <c r="K150" s="40"/>
      <c r="L150" s="3"/>
      <c r="M150" s="3"/>
      <c r="N150" s="3"/>
      <c r="O150" s="40"/>
      <c r="P150" s="32"/>
      <c r="Q150" s="32"/>
      <c r="R150" s="32"/>
      <c r="S150" s="32"/>
      <c r="T150" s="75"/>
      <c r="U150" s="32"/>
      <c r="V150" s="32"/>
      <c r="W150" s="32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</row>
    <row x14ac:dyDescent="0.25" r="151" customHeight="1" ht="18.75">
      <c r="A151" s="40"/>
      <c r="B151" s="3"/>
      <c r="C151" s="3"/>
      <c r="D151" s="40"/>
      <c r="E151" s="3"/>
      <c r="F151" s="3"/>
      <c r="G151" s="3"/>
      <c r="H151" s="40"/>
      <c r="I151" s="3"/>
      <c r="J151" s="3"/>
      <c r="K151" s="40"/>
      <c r="L151" s="3"/>
      <c r="M151" s="3"/>
      <c r="N151" s="3"/>
      <c r="O151" s="40"/>
      <c r="P151" s="32"/>
      <c r="Q151" s="32"/>
      <c r="R151" s="32"/>
      <c r="S151" s="32"/>
      <c r="T151" s="75"/>
      <c r="U151" s="32"/>
      <c r="V151" s="32"/>
      <c r="W151" s="32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</row>
    <row x14ac:dyDescent="0.25" r="152" customHeight="1" ht="18.75">
      <c r="A152" s="40"/>
      <c r="B152" s="3"/>
      <c r="C152" s="3"/>
      <c r="D152" s="40"/>
      <c r="E152" s="3"/>
      <c r="F152" s="3"/>
      <c r="G152" s="3"/>
      <c r="H152" s="40"/>
      <c r="I152" s="3"/>
      <c r="J152" s="3"/>
      <c r="K152" s="40"/>
      <c r="L152" s="3"/>
      <c r="M152" s="3"/>
      <c r="N152" s="3"/>
      <c r="O152" s="40"/>
      <c r="P152" s="32"/>
      <c r="Q152" s="32"/>
      <c r="R152" s="32"/>
      <c r="S152" s="32"/>
      <c r="T152" s="75"/>
      <c r="U152" s="32"/>
      <c r="V152" s="32"/>
      <c r="W152" s="32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</row>
    <row x14ac:dyDescent="0.25" r="153" customHeight="1" ht="18.75">
      <c r="A153" s="40"/>
      <c r="B153" s="3"/>
      <c r="C153" s="3"/>
      <c r="D153" s="40"/>
      <c r="E153" s="3"/>
      <c r="F153" s="3"/>
      <c r="G153" s="3"/>
      <c r="H153" s="40"/>
      <c r="I153" s="3"/>
      <c r="J153" s="3"/>
      <c r="K153" s="40"/>
      <c r="L153" s="3"/>
      <c r="M153" s="3"/>
      <c r="N153" s="3"/>
      <c r="O153" s="40"/>
      <c r="P153" s="32"/>
      <c r="Q153" s="32"/>
      <c r="R153" s="32"/>
      <c r="S153" s="32"/>
      <c r="T153" s="75"/>
      <c r="U153" s="32"/>
      <c r="V153" s="32"/>
      <c r="W153" s="32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</row>
    <row x14ac:dyDescent="0.25" r="154" customHeight="1" ht="18.75">
      <c r="A154" s="40"/>
      <c r="B154" s="3"/>
      <c r="C154" s="3"/>
      <c r="D154" s="40"/>
      <c r="E154" s="3"/>
      <c r="F154" s="3"/>
      <c r="G154" s="3"/>
      <c r="H154" s="40"/>
      <c r="I154" s="3"/>
      <c r="J154" s="3"/>
      <c r="K154" s="40"/>
      <c r="L154" s="3"/>
      <c r="M154" s="3"/>
      <c r="N154" s="3"/>
      <c r="O154" s="40"/>
      <c r="P154" s="32"/>
      <c r="Q154" s="32"/>
      <c r="R154" s="32"/>
      <c r="S154" s="32"/>
      <c r="T154" s="75"/>
      <c r="U154" s="32"/>
      <c r="V154" s="32"/>
      <c r="W154" s="32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</row>
    <row x14ac:dyDescent="0.25" r="155" customHeight="1" ht="18.75">
      <c r="A155" s="40"/>
      <c r="B155" s="3"/>
      <c r="C155" s="3"/>
      <c r="D155" s="40"/>
      <c r="E155" s="3"/>
      <c r="F155" s="3"/>
      <c r="G155" s="3"/>
      <c r="H155" s="40"/>
      <c r="I155" s="3"/>
      <c r="J155" s="3"/>
      <c r="K155" s="40"/>
      <c r="L155" s="3"/>
      <c r="M155" s="3"/>
      <c r="N155" s="3"/>
      <c r="O155" s="40"/>
      <c r="P155" s="32"/>
      <c r="Q155" s="32"/>
      <c r="R155" s="32"/>
      <c r="S155" s="32"/>
      <c r="T155" s="75"/>
      <c r="U155" s="32"/>
      <c r="V155" s="32"/>
      <c r="W155" s="32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</row>
    <row x14ac:dyDescent="0.25" r="156" customHeight="1" ht="18.75">
      <c r="A156" s="40"/>
      <c r="B156" s="3"/>
      <c r="C156" s="3"/>
      <c r="D156" s="40"/>
      <c r="E156" s="3"/>
      <c r="F156" s="3"/>
      <c r="G156" s="3"/>
      <c r="H156" s="40"/>
      <c r="I156" s="3"/>
      <c r="J156" s="3"/>
      <c r="K156" s="40"/>
      <c r="L156" s="3"/>
      <c r="M156" s="3"/>
      <c r="N156" s="3"/>
      <c r="O156" s="40"/>
      <c r="P156" s="32"/>
      <c r="Q156" s="32"/>
      <c r="R156" s="32"/>
      <c r="S156" s="32"/>
      <c r="T156" s="75"/>
      <c r="U156" s="32"/>
      <c r="V156" s="32"/>
      <c r="W156" s="32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</row>
    <row x14ac:dyDescent="0.25" r="157" customHeight="1" ht="18.75">
      <c r="A157" s="40"/>
      <c r="B157" s="3"/>
      <c r="C157" s="3"/>
      <c r="D157" s="40"/>
      <c r="E157" s="3"/>
      <c r="F157" s="3"/>
      <c r="G157" s="3"/>
      <c r="H157" s="40"/>
      <c r="I157" s="3"/>
      <c r="J157" s="3"/>
      <c r="K157" s="40"/>
      <c r="L157" s="3"/>
      <c r="M157" s="3"/>
      <c r="N157" s="3"/>
      <c r="O157" s="40"/>
      <c r="P157" s="32"/>
      <c r="Q157" s="32"/>
      <c r="R157" s="32"/>
      <c r="S157" s="32"/>
      <c r="T157" s="75"/>
      <c r="U157" s="32"/>
      <c r="V157" s="32"/>
      <c r="W157" s="32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</row>
    <row x14ac:dyDescent="0.25" r="158" customHeight="1" ht="18.75">
      <c r="A158" s="40"/>
      <c r="B158" s="3"/>
      <c r="C158" s="3"/>
      <c r="D158" s="40"/>
      <c r="E158" s="3"/>
      <c r="F158" s="3"/>
      <c r="G158" s="3"/>
      <c r="H158" s="40"/>
      <c r="I158" s="3"/>
      <c r="J158" s="3"/>
      <c r="K158" s="40"/>
      <c r="L158" s="3"/>
      <c r="M158" s="3"/>
      <c r="N158" s="3"/>
      <c r="O158" s="40"/>
      <c r="P158" s="32"/>
      <c r="Q158" s="32"/>
      <c r="R158" s="32"/>
      <c r="S158" s="32"/>
      <c r="T158" s="75"/>
      <c r="U158" s="32"/>
      <c r="V158" s="32"/>
      <c r="W158" s="32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</row>
    <row x14ac:dyDescent="0.25" r="159" customHeight="1" ht="18.75">
      <c r="A159" s="40"/>
      <c r="B159" s="3"/>
      <c r="C159" s="3"/>
      <c r="D159" s="40"/>
      <c r="E159" s="3"/>
      <c r="F159" s="3"/>
      <c r="G159" s="3"/>
      <c r="H159" s="40"/>
      <c r="I159" s="3"/>
      <c r="J159" s="3"/>
      <c r="K159" s="40"/>
      <c r="L159" s="3"/>
      <c r="M159" s="3"/>
      <c r="N159" s="3"/>
      <c r="O159" s="40"/>
      <c r="P159" s="32"/>
      <c r="Q159" s="32"/>
      <c r="R159" s="32"/>
      <c r="S159" s="32"/>
      <c r="T159" s="75"/>
      <c r="U159" s="32"/>
      <c r="V159" s="32"/>
      <c r="W159" s="32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</row>
    <row x14ac:dyDescent="0.25" r="160" customHeight="1" ht="18.75">
      <c r="A160" s="40"/>
      <c r="B160" s="3"/>
      <c r="C160" s="3"/>
      <c r="D160" s="40"/>
      <c r="E160" s="3"/>
      <c r="F160" s="3"/>
      <c r="G160" s="3"/>
      <c r="H160" s="40"/>
      <c r="I160" s="3"/>
      <c r="J160" s="3"/>
      <c r="K160" s="40"/>
      <c r="L160" s="3"/>
      <c r="M160" s="3"/>
      <c r="N160" s="3"/>
      <c r="O160" s="40"/>
      <c r="P160" s="32"/>
      <c r="Q160" s="32"/>
      <c r="R160" s="32"/>
      <c r="S160" s="32"/>
      <c r="T160" s="75"/>
      <c r="U160" s="32"/>
      <c r="V160" s="32"/>
      <c r="W160" s="32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</row>
    <row x14ac:dyDescent="0.25" r="161" customHeight="1" ht="18.75">
      <c r="A161" s="40"/>
      <c r="B161" s="3"/>
      <c r="C161" s="3"/>
      <c r="D161" s="40"/>
      <c r="E161" s="3"/>
      <c r="F161" s="3"/>
      <c r="G161" s="3"/>
      <c r="H161" s="40"/>
      <c r="I161" s="3"/>
      <c r="J161" s="3"/>
      <c r="K161" s="40"/>
      <c r="L161" s="3"/>
      <c r="M161" s="3"/>
      <c r="N161" s="3"/>
      <c r="O161" s="40"/>
      <c r="P161" s="32"/>
      <c r="Q161" s="32"/>
      <c r="R161" s="32"/>
      <c r="S161" s="32"/>
      <c r="T161" s="75"/>
      <c r="U161" s="32"/>
      <c r="V161" s="32"/>
      <c r="W161" s="32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</row>
    <row x14ac:dyDescent="0.25" r="162" customHeight="1" ht="18.75">
      <c r="A162" s="40"/>
      <c r="B162" s="3"/>
      <c r="C162" s="3"/>
      <c r="D162" s="40"/>
      <c r="E162" s="3"/>
      <c r="F162" s="3"/>
      <c r="G162" s="3"/>
      <c r="H162" s="40"/>
      <c r="I162" s="3"/>
      <c r="J162" s="3"/>
      <c r="K162" s="40"/>
      <c r="L162" s="3"/>
      <c r="M162" s="3"/>
      <c r="N162" s="3"/>
      <c r="O162" s="40"/>
      <c r="P162" s="32"/>
      <c r="Q162" s="32"/>
      <c r="R162" s="32"/>
      <c r="S162" s="32"/>
      <c r="T162" s="75"/>
      <c r="U162" s="32"/>
      <c r="V162" s="32"/>
      <c r="W162" s="32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</row>
    <row x14ac:dyDescent="0.25" r="163" customHeight="1" ht="18.75">
      <c r="A163" s="40"/>
      <c r="B163" s="3"/>
      <c r="C163" s="3"/>
      <c r="D163" s="40"/>
      <c r="E163" s="3"/>
      <c r="F163" s="3"/>
      <c r="G163" s="3"/>
      <c r="H163" s="40"/>
      <c r="I163" s="3"/>
      <c r="J163" s="3"/>
      <c r="K163" s="40"/>
      <c r="L163" s="3"/>
      <c r="M163" s="3"/>
      <c r="N163" s="3"/>
      <c r="O163" s="40"/>
      <c r="P163" s="32"/>
      <c r="Q163" s="32"/>
      <c r="R163" s="32"/>
      <c r="S163" s="32"/>
      <c r="T163" s="75"/>
      <c r="U163" s="32"/>
      <c r="V163" s="32"/>
      <c r="W163" s="32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</row>
    <row x14ac:dyDescent="0.25" r="164" customHeight="1" ht="18.75">
      <c r="A164" s="40"/>
      <c r="B164" s="3"/>
      <c r="C164" s="3"/>
      <c r="D164" s="40"/>
      <c r="E164" s="3"/>
      <c r="F164" s="3"/>
      <c r="G164" s="3"/>
      <c r="H164" s="40"/>
      <c r="I164" s="3"/>
      <c r="J164" s="3"/>
      <c r="K164" s="40"/>
      <c r="L164" s="3"/>
      <c r="M164" s="3"/>
      <c r="N164" s="3"/>
      <c r="O164" s="40"/>
      <c r="P164" s="32"/>
      <c r="Q164" s="32"/>
      <c r="R164" s="32"/>
      <c r="S164" s="32"/>
      <c r="T164" s="75"/>
      <c r="U164" s="32"/>
      <c r="V164" s="32"/>
      <c r="W164" s="32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</row>
    <row x14ac:dyDescent="0.25" r="165" customHeight="1" ht="18.75">
      <c r="A165" s="40"/>
      <c r="B165" s="3"/>
      <c r="C165" s="3"/>
      <c r="D165" s="40"/>
      <c r="E165" s="3"/>
      <c r="F165" s="3"/>
      <c r="G165" s="3"/>
      <c r="H165" s="40"/>
      <c r="I165" s="3"/>
      <c r="J165" s="3"/>
      <c r="K165" s="40"/>
      <c r="L165" s="3"/>
      <c r="M165" s="3"/>
      <c r="N165" s="3"/>
      <c r="O165" s="40"/>
      <c r="P165" s="32"/>
      <c r="Q165" s="32"/>
      <c r="R165" s="32"/>
      <c r="S165" s="32"/>
      <c r="T165" s="75"/>
      <c r="U165" s="32"/>
      <c r="V165" s="32"/>
      <c r="W165" s="32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</row>
    <row x14ac:dyDescent="0.25" r="166" customHeight="1" ht="18.75">
      <c r="A166" s="40"/>
      <c r="B166" s="3"/>
      <c r="C166" s="3"/>
      <c r="D166" s="40"/>
      <c r="E166" s="3"/>
      <c r="F166" s="3"/>
      <c r="G166" s="3"/>
      <c r="H166" s="40"/>
      <c r="I166" s="3"/>
      <c r="J166" s="3"/>
      <c r="K166" s="40"/>
      <c r="L166" s="3"/>
      <c r="M166" s="3"/>
      <c r="N166" s="3"/>
      <c r="O166" s="40"/>
      <c r="P166" s="32"/>
      <c r="Q166" s="32"/>
      <c r="R166" s="32"/>
      <c r="S166" s="32"/>
      <c r="T166" s="75"/>
      <c r="U166" s="32"/>
      <c r="V166" s="32"/>
      <c r="W166" s="32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</row>
    <row x14ac:dyDescent="0.25" r="167" customHeight="1" ht="18.75">
      <c r="A167" s="40"/>
      <c r="B167" s="3"/>
      <c r="C167" s="3"/>
      <c r="D167" s="40"/>
      <c r="E167" s="3"/>
      <c r="F167" s="3"/>
      <c r="G167" s="3"/>
      <c r="H167" s="40"/>
      <c r="I167" s="3"/>
      <c r="J167" s="3"/>
      <c r="K167" s="40"/>
      <c r="L167" s="3"/>
      <c r="M167" s="3"/>
      <c r="N167" s="3"/>
      <c r="O167" s="40"/>
      <c r="P167" s="32"/>
      <c r="Q167" s="32"/>
      <c r="R167" s="32"/>
      <c r="S167" s="32"/>
      <c r="T167" s="75"/>
      <c r="U167" s="32"/>
      <c r="V167" s="32"/>
      <c r="W167" s="32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</row>
    <row x14ac:dyDescent="0.25" r="168" customHeight="1" ht="18.75">
      <c r="A168" s="40"/>
      <c r="B168" s="3"/>
      <c r="C168" s="3"/>
      <c r="D168" s="40"/>
      <c r="E168" s="3"/>
      <c r="F168" s="3"/>
      <c r="G168" s="3"/>
      <c r="H168" s="40"/>
      <c r="I168" s="3"/>
      <c r="J168" s="3"/>
      <c r="K168" s="40"/>
      <c r="L168" s="3"/>
      <c r="M168" s="3"/>
      <c r="N168" s="3"/>
      <c r="O168" s="40"/>
      <c r="P168" s="32"/>
      <c r="Q168" s="32"/>
      <c r="R168" s="32"/>
      <c r="S168" s="32"/>
      <c r="T168" s="75"/>
      <c r="U168" s="32"/>
      <c r="V168" s="32"/>
      <c r="W168" s="32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</row>
    <row x14ac:dyDescent="0.25" r="169" customHeight="1" ht="18.75">
      <c r="A169" s="40"/>
      <c r="B169" s="3"/>
      <c r="C169" s="3"/>
      <c r="D169" s="40"/>
      <c r="E169" s="3"/>
      <c r="F169" s="3"/>
      <c r="G169" s="3"/>
      <c r="H169" s="40"/>
      <c r="I169" s="3"/>
      <c r="J169" s="3"/>
      <c r="K169" s="40"/>
      <c r="L169" s="3"/>
      <c r="M169" s="3"/>
      <c r="N169" s="3"/>
      <c r="O169" s="40"/>
      <c r="P169" s="32"/>
      <c r="Q169" s="32"/>
      <c r="R169" s="32"/>
      <c r="S169" s="32"/>
      <c r="T169" s="75"/>
      <c r="U169" s="32"/>
      <c r="V169" s="32"/>
      <c r="W169" s="32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</row>
    <row x14ac:dyDescent="0.25" r="170" customHeight="1" ht="18.75">
      <c r="A170" s="40"/>
      <c r="B170" s="3"/>
      <c r="C170" s="3"/>
      <c r="D170" s="40"/>
      <c r="E170" s="3"/>
      <c r="F170" s="3"/>
      <c r="G170" s="3"/>
      <c r="H170" s="40"/>
      <c r="I170" s="3"/>
      <c r="J170" s="3"/>
      <c r="K170" s="40"/>
      <c r="L170" s="3"/>
      <c r="M170" s="3"/>
      <c r="N170" s="3"/>
      <c r="O170" s="40"/>
      <c r="P170" s="32"/>
      <c r="Q170" s="32"/>
      <c r="R170" s="32"/>
      <c r="S170" s="32"/>
      <c r="T170" s="75"/>
      <c r="U170" s="32"/>
      <c r="V170" s="32"/>
      <c r="W170" s="32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</row>
    <row x14ac:dyDescent="0.25" r="171" customHeight="1" ht="18.75">
      <c r="A171" s="40"/>
      <c r="B171" s="3"/>
      <c r="C171" s="3"/>
      <c r="D171" s="40"/>
      <c r="E171" s="3"/>
      <c r="F171" s="3"/>
      <c r="G171" s="3"/>
      <c r="H171" s="40"/>
      <c r="I171" s="3"/>
      <c r="J171" s="3"/>
      <c r="K171" s="40"/>
      <c r="L171" s="3"/>
      <c r="M171" s="3"/>
      <c r="N171" s="3"/>
      <c r="O171" s="40"/>
      <c r="P171" s="32"/>
      <c r="Q171" s="32"/>
      <c r="R171" s="32"/>
      <c r="S171" s="32"/>
      <c r="T171" s="75"/>
      <c r="U171" s="32"/>
      <c r="V171" s="32"/>
      <c r="W171" s="32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</row>
    <row x14ac:dyDescent="0.25" r="172" customHeight="1" ht="18.75">
      <c r="A172" s="40"/>
      <c r="B172" s="3"/>
      <c r="C172" s="3"/>
      <c r="D172" s="40"/>
      <c r="E172" s="3"/>
      <c r="F172" s="3"/>
      <c r="G172" s="3"/>
      <c r="H172" s="40"/>
      <c r="I172" s="3"/>
      <c r="J172" s="3"/>
      <c r="K172" s="40"/>
      <c r="L172" s="3"/>
      <c r="M172" s="3"/>
      <c r="N172" s="3"/>
      <c r="O172" s="40"/>
      <c r="P172" s="32"/>
      <c r="Q172" s="32"/>
      <c r="R172" s="32"/>
      <c r="S172" s="32"/>
      <c r="T172" s="75"/>
      <c r="U172" s="32"/>
      <c r="V172" s="32"/>
      <c r="W172" s="32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</row>
    <row x14ac:dyDescent="0.25" r="173" customHeight="1" ht="18.75">
      <c r="A173" s="40"/>
      <c r="B173" s="3"/>
      <c r="C173" s="3"/>
      <c r="D173" s="40"/>
      <c r="E173" s="3"/>
      <c r="F173" s="3"/>
      <c r="G173" s="3"/>
      <c r="H173" s="40"/>
      <c r="I173" s="3"/>
      <c r="J173" s="3"/>
      <c r="K173" s="40"/>
      <c r="L173" s="3"/>
      <c r="M173" s="3"/>
      <c r="N173" s="3"/>
      <c r="O173" s="40"/>
      <c r="P173" s="32"/>
      <c r="Q173" s="32"/>
      <c r="R173" s="32"/>
      <c r="S173" s="32"/>
      <c r="T173" s="75"/>
      <c r="U173" s="32"/>
      <c r="V173" s="32"/>
      <c r="W173" s="32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</row>
    <row x14ac:dyDescent="0.25" r="174" customHeight="1" ht="18.75">
      <c r="A174" s="40"/>
      <c r="B174" s="3"/>
      <c r="C174" s="3"/>
      <c r="D174" s="40"/>
      <c r="E174" s="3"/>
      <c r="F174" s="3"/>
      <c r="G174" s="3"/>
      <c r="H174" s="40"/>
      <c r="I174" s="3"/>
      <c r="J174" s="3"/>
      <c r="K174" s="40"/>
      <c r="L174" s="3"/>
      <c r="M174" s="3"/>
      <c r="N174" s="3"/>
      <c r="O174" s="40"/>
      <c r="P174" s="32"/>
      <c r="Q174" s="32"/>
      <c r="R174" s="32"/>
      <c r="S174" s="32"/>
      <c r="T174" s="75"/>
      <c r="U174" s="32"/>
      <c r="V174" s="32"/>
      <c r="W174" s="32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</row>
    <row x14ac:dyDescent="0.25" r="175" customHeight="1" ht="18.75">
      <c r="A175" s="40"/>
      <c r="B175" s="3"/>
      <c r="C175" s="3"/>
      <c r="D175" s="40"/>
      <c r="E175" s="3"/>
      <c r="F175" s="3"/>
      <c r="G175" s="3"/>
      <c r="H175" s="40"/>
      <c r="I175" s="3"/>
      <c r="J175" s="3"/>
      <c r="K175" s="40"/>
      <c r="L175" s="3"/>
      <c r="M175" s="3"/>
      <c r="N175" s="3"/>
      <c r="O175" s="40"/>
      <c r="P175" s="32"/>
      <c r="Q175" s="32"/>
      <c r="R175" s="32"/>
      <c r="S175" s="32"/>
      <c r="T175" s="75"/>
      <c r="U175" s="32"/>
      <c r="V175" s="32"/>
      <c r="W175" s="32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</row>
    <row x14ac:dyDescent="0.25" r="176" customHeight="1" ht="18.75">
      <c r="A176" s="40"/>
      <c r="B176" s="3"/>
      <c r="C176" s="3"/>
      <c r="D176" s="40"/>
      <c r="E176" s="3"/>
      <c r="F176" s="3"/>
      <c r="G176" s="3"/>
      <c r="H176" s="40"/>
      <c r="I176" s="3"/>
      <c r="J176" s="3"/>
      <c r="K176" s="40"/>
      <c r="L176" s="3"/>
      <c r="M176" s="3"/>
      <c r="N176" s="3"/>
      <c r="O176" s="40"/>
      <c r="P176" s="32"/>
      <c r="Q176" s="32"/>
      <c r="R176" s="32"/>
      <c r="S176" s="32"/>
      <c r="T176" s="75"/>
      <c r="U176" s="32"/>
      <c r="V176" s="32"/>
      <c r="W176" s="32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</row>
    <row x14ac:dyDescent="0.25" r="177" customHeight="1" ht="18.75">
      <c r="A177" s="40"/>
      <c r="B177" s="3"/>
      <c r="C177" s="3"/>
      <c r="D177" s="40"/>
      <c r="E177" s="3"/>
      <c r="F177" s="3"/>
      <c r="G177" s="3"/>
      <c r="H177" s="40"/>
      <c r="I177" s="3"/>
      <c r="J177" s="3"/>
      <c r="K177" s="40"/>
      <c r="L177" s="3"/>
      <c r="M177" s="3"/>
      <c r="N177" s="3"/>
      <c r="O177" s="40"/>
      <c r="P177" s="32"/>
      <c r="Q177" s="32"/>
      <c r="R177" s="32"/>
      <c r="S177" s="32"/>
      <c r="T177" s="75"/>
      <c r="U177" s="32"/>
      <c r="V177" s="32"/>
      <c r="W177" s="32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</row>
    <row x14ac:dyDescent="0.25" r="178" customHeight="1" ht="18.75">
      <c r="A178" s="40"/>
      <c r="B178" s="3"/>
      <c r="C178" s="3"/>
      <c r="D178" s="40"/>
      <c r="E178" s="3"/>
      <c r="F178" s="3"/>
      <c r="G178" s="3"/>
      <c r="H178" s="40"/>
      <c r="I178" s="3"/>
      <c r="J178" s="3"/>
      <c r="K178" s="40"/>
      <c r="L178" s="3"/>
      <c r="M178" s="3"/>
      <c r="N178" s="3"/>
      <c r="O178" s="40"/>
      <c r="P178" s="32"/>
      <c r="Q178" s="32"/>
      <c r="R178" s="32"/>
      <c r="S178" s="32"/>
      <c r="T178" s="75"/>
      <c r="U178" s="32"/>
      <c r="V178" s="32"/>
      <c r="W178" s="32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</row>
    <row x14ac:dyDescent="0.25" r="179" customHeight="1" ht="18.75">
      <c r="A179" s="40"/>
      <c r="B179" s="3"/>
      <c r="C179" s="3"/>
      <c r="D179" s="40"/>
      <c r="E179" s="3"/>
      <c r="F179" s="3"/>
      <c r="G179" s="3"/>
      <c r="H179" s="40"/>
      <c r="I179" s="3"/>
      <c r="J179" s="3"/>
      <c r="K179" s="40"/>
      <c r="L179" s="3"/>
      <c r="M179" s="3"/>
      <c r="N179" s="3"/>
      <c r="O179" s="40"/>
      <c r="P179" s="32"/>
      <c r="Q179" s="32"/>
      <c r="R179" s="32"/>
      <c r="S179" s="32"/>
      <c r="T179" s="75"/>
      <c r="U179" s="32"/>
      <c r="V179" s="32"/>
      <c r="W179" s="32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</row>
    <row x14ac:dyDescent="0.25" r="180" customHeight="1" ht="18.75">
      <c r="A180" s="40"/>
      <c r="B180" s="3"/>
      <c r="C180" s="3"/>
      <c r="D180" s="40"/>
      <c r="E180" s="3"/>
      <c r="F180" s="3"/>
      <c r="G180" s="3"/>
      <c r="H180" s="40"/>
      <c r="I180" s="3"/>
      <c r="J180" s="3"/>
      <c r="K180" s="40"/>
      <c r="L180" s="3"/>
      <c r="M180" s="3"/>
      <c r="N180" s="3"/>
      <c r="O180" s="40"/>
      <c r="P180" s="32"/>
      <c r="Q180" s="32"/>
      <c r="R180" s="32"/>
      <c r="S180" s="32"/>
      <c r="T180" s="75"/>
      <c r="U180" s="32"/>
      <c r="V180" s="32"/>
      <c r="W180" s="32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</row>
    <row x14ac:dyDescent="0.25" r="181" customHeight="1" ht="18.75">
      <c r="A181" s="40"/>
      <c r="B181" s="3"/>
      <c r="C181" s="3"/>
      <c r="D181" s="40"/>
      <c r="E181" s="3"/>
      <c r="F181" s="3"/>
      <c r="G181" s="3"/>
      <c r="H181" s="40"/>
      <c r="I181" s="3"/>
      <c r="J181" s="3"/>
      <c r="K181" s="40"/>
      <c r="L181" s="3"/>
      <c r="M181" s="3"/>
      <c r="N181" s="3"/>
      <c r="O181" s="40"/>
      <c r="P181" s="32"/>
      <c r="Q181" s="32"/>
      <c r="R181" s="32"/>
      <c r="S181" s="32"/>
      <c r="T181" s="75"/>
      <c r="U181" s="32"/>
      <c r="V181" s="32"/>
      <c r="W181" s="32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</row>
    <row x14ac:dyDescent="0.25" r="182" customHeight="1" ht="18.75">
      <c r="A182" s="40"/>
      <c r="B182" s="3"/>
      <c r="C182" s="3"/>
      <c r="D182" s="40"/>
      <c r="E182" s="3"/>
      <c r="F182" s="3"/>
      <c r="G182" s="3"/>
      <c r="H182" s="40"/>
      <c r="I182" s="3"/>
      <c r="J182" s="3"/>
      <c r="K182" s="40"/>
      <c r="L182" s="3"/>
      <c r="M182" s="3"/>
      <c r="N182" s="3"/>
      <c r="O182" s="40"/>
      <c r="P182" s="32"/>
      <c r="Q182" s="32"/>
      <c r="R182" s="32"/>
      <c r="S182" s="32"/>
      <c r="T182" s="75"/>
      <c r="U182" s="32"/>
      <c r="V182" s="32"/>
      <c r="W182" s="32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</row>
    <row x14ac:dyDescent="0.25" r="183" customHeight="1" ht="18.75">
      <c r="A183" s="40"/>
      <c r="B183" s="3"/>
      <c r="C183" s="3"/>
      <c r="D183" s="40"/>
      <c r="E183" s="3"/>
      <c r="F183" s="3"/>
      <c r="G183" s="3"/>
      <c r="H183" s="40"/>
      <c r="I183" s="3"/>
      <c r="J183" s="3"/>
      <c r="K183" s="40"/>
      <c r="L183" s="3"/>
      <c r="M183" s="3"/>
      <c r="N183" s="3"/>
      <c r="O183" s="40"/>
      <c r="P183" s="32"/>
      <c r="Q183" s="32"/>
      <c r="R183" s="32"/>
      <c r="S183" s="32"/>
      <c r="T183" s="75"/>
      <c r="U183" s="32"/>
      <c r="V183" s="32"/>
      <c r="W183" s="32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</row>
    <row x14ac:dyDescent="0.25" r="184" customHeight="1" ht="18.75">
      <c r="A184" s="40"/>
      <c r="B184" s="3"/>
      <c r="C184" s="3"/>
      <c r="D184" s="40"/>
      <c r="E184" s="3"/>
      <c r="F184" s="3"/>
      <c r="G184" s="3"/>
      <c r="H184" s="40"/>
      <c r="I184" s="3"/>
      <c r="J184" s="3"/>
      <c r="K184" s="40"/>
      <c r="L184" s="3"/>
      <c r="M184" s="3"/>
      <c r="N184" s="3"/>
      <c r="O184" s="40"/>
      <c r="P184" s="32"/>
      <c r="Q184" s="32"/>
      <c r="R184" s="32"/>
      <c r="S184" s="32"/>
      <c r="T184" s="75"/>
      <c r="U184" s="32"/>
      <c r="V184" s="32"/>
      <c r="W184" s="32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</row>
    <row x14ac:dyDescent="0.25" r="185" customHeight="1" ht="18.75">
      <c r="A185" s="40"/>
      <c r="B185" s="3"/>
      <c r="C185" s="3"/>
      <c r="D185" s="40"/>
      <c r="E185" s="3"/>
      <c r="F185" s="3"/>
      <c r="G185" s="3"/>
      <c r="H185" s="40"/>
      <c r="I185" s="3"/>
      <c r="J185" s="3"/>
      <c r="K185" s="40"/>
      <c r="L185" s="3"/>
      <c r="M185" s="3"/>
      <c r="N185" s="3"/>
      <c r="O185" s="40"/>
      <c r="P185" s="32"/>
      <c r="Q185" s="32"/>
      <c r="R185" s="32"/>
      <c r="S185" s="32"/>
      <c r="T185" s="75"/>
      <c r="U185" s="32"/>
      <c r="V185" s="32"/>
      <c r="W185" s="32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</row>
    <row x14ac:dyDescent="0.25" r="186" customHeight="1" ht="18.75">
      <c r="A186" s="40"/>
      <c r="B186" s="3"/>
      <c r="C186" s="3"/>
      <c r="D186" s="40"/>
      <c r="E186" s="3"/>
      <c r="F186" s="3"/>
      <c r="G186" s="3"/>
      <c r="H186" s="40"/>
      <c r="I186" s="3"/>
      <c r="J186" s="3"/>
      <c r="K186" s="40"/>
      <c r="L186" s="3"/>
      <c r="M186" s="3"/>
      <c r="N186" s="3"/>
      <c r="O186" s="40"/>
      <c r="P186" s="32"/>
      <c r="Q186" s="32"/>
      <c r="R186" s="32"/>
      <c r="S186" s="32"/>
      <c r="T186" s="75"/>
      <c r="U186" s="32"/>
      <c r="V186" s="32"/>
      <c r="W186" s="32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</row>
    <row x14ac:dyDescent="0.25" r="187" customHeight="1" ht="18.75">
      <c r="A187" s="40"/>
      <c r="B187" s="3"/>
      <c r="C187" s="3"/>
      <c r="D187" s="40"/>
      <c r="E187" s="3"/>
      <c r="F187" s="3"/>
      <c r="G187" s="3"/>
      <c r="H187" s="40"/>
      <c r="I187" s="3"/>
      <c r="J187" s="3"/>
      <c r="K187" s="40"/>
      <c r="L187" s="3"/>
      <c r="M187" s="3"/>
      <c r="N187" s="3"/>
      <c r="O187" s="40"/>
      <c r="P187" s="32"/>
      <c r="Q187" s="32"/>
      <c r="R187" s="32"/>
      <c r="S187" s="32"/>
      <c r="T187" s="75"/>
      <c r="U187" s="32"/>
      <c r="V187" s="32"/>
      <c r="W187" s="32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</row>
    <row x14ac:dyDescent="0.25" r="188" customHeight="1" ht="18.75">
      <c r="A188" s="40"/>
      <c r="B188" s="3"/>
      <c r="C188" s="3"/>
      <c r="D188" s="40"/>
      <c r="E188" s="3"/>
      <c r="F188" s="3"/>
      <c r="G188" s="3"/>
      <c r="H188" s="40"/>
      <c r="I188" s="3"/>
      <c r="J188" s="3"/>
      <c r="K188" s="40"/>
      <c r="L188" s="3"/>
      <c r="M188" s="3"/>
      <c r="N188" s="3"/>
      <c r="O188" s="40"/>
      <c r="P188" s="32"/>
      <c r="Q188" s="32"/>
      <c r="R188" s="32"/>
      <c r="S188" s="32"/>
      <c r="T188" s="75"/>
      <c r="U188" s="32"/>
      <c r="V188" s="32"/>
      <c r="W188" s="32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</row>
    <row x14ac:dyDescent="0.25" r="189" customHeight="1" ht="18.75">
      <c r="A189" s="40"/>
      <c r="B189" s="3"/>
      <c r="C189" s="3"/>
      <c r="D189" s="40"/>
      <c r="E189" s="3"/>
      <c r="F189" s="3"/>
      <c r="G189" s="3"/>
      <c r="H189" s="40"/>
      <c r="I189" s="3"/>
      <c r="J189" s="3"/>
      <c r="K189" s="40"/>
      <c r="L189" s="3"/>
      <c r="M189" s="3"/>
      <c r="N189" s="3"/>
      <c r="O189" s="40"/>
      <c r="P189" s="32"/>
      <c r="Q189" s="32"/>
      <c r="R189" s="32"/>
      <c r="S189" s="32"/>
      <c r="T189" s="75"/>
      <c r="U189" s="32"/>
      <c r="V189" s="32"/>
      <c r="W189" s="32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</row>
    <row x14ac:dyDescent="0.25" r="190" customHeight="1" ht="18.75">
      <c r="A190" s="40"/>
      <c r="B190" s="3"/>
      <c r="C190" s="3"/>
      <c r="D190" s="40"/>
      <c r="E190" s="3"/>
      <c r="F190" s="3"/>
      <c r="G190" s="3"/>
      <c r="H190" s="40"/>
      <c r="I190" s="3"/>
      <c r="J190" s="3"/>
      <c r="K190" s="40"/>
      <c r="L190" s="3"/>
      <c r="M190" s="3"/>
      <c r="N190" s="3"/>
      <c r="O190" s="40"/>
      <c r="P190" s="32"/>
      <c r="Q190" s="32"/>
      <c r="R190" s="32"/>
      <c r="S190" s="32"/>
      <c r="T190" s="75"/>
      <c r="U190" s="32"/>
      <c r="V190" s="32"/>
      <c r="W190" s="32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</row>
    <row x14ac:dyDescent="0.25" r="191" customHeight="1" ht="18.75">
      <c r="A191" s="40"/>
      <c r="B191" s="3"/>
      <c r="C191" s="3"/>
      <c r="D191" s="40"/>
      <c r="E191" s="3"/>
      <c r="F191" s="3"/>
      <c r="G191" s="3"/>
      <c r="H191" s="40"/>
      <c r="I191" s="3"/>
      <c r="J191" s="3"/>
      <c r="K191" s="40"/>
      <c r="L191" s="3"/>
      <c r="M191" s="3"/>
      <c r="N191" s="3"/>
      <c r="O191" s="40"/>
      <c r="P191" s="32"/>
      <c r="Q191" s="32"/>
      <c r="R191" s="32"/>
      <c r="S191" s="32"/>
      <c r="T191" s="75"/>
      <c r="U191" s="32"/>
      <c r="V191" s="32"/>
      <c r="W191" s="32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</row>
    <row x14ac:dyDescent="0.25" r="192" customHeight="1" ht="18.75">
      <c r="A192" s="40"/>
      <c r="B192" s="3"/>
      <c r="C192" s="3"/>
      <c r="D192" s="40"/>
      <c r="E192" s="3"/>
      <c r="F192" s="3"/>
      <c r="G192" s="3"/>
      <c r="H192" s="40"/>
      <c r="I192" s="3"/>
      <c r="J192" s="3"/>
      <c r="K192" s="40"/>
      <c r="L192" s="3"/>
      <c r="M192" s="3"/>
      <c r="N192" s="3"/>
      <c r="O192" s="40"/>
      <c r="P192" s="32"/>
      <c r="Q192" s="32"/>
      <c r="R192" s="32"/>
      <c r="S192" s="32"/>
      <c r="T192" s="75"/>
      <c r="U192" s="32"/>
      <c r="V192" s="32"/>
      <c r="W192" s="32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</row>
    <row x14ac:dyDescent="0.25" r="193" customHeight="1" ht="18.75">
      <c r="A193" s="40"/>
      <c r="B193" s="3"/>
      <c r="C193" s="3"/>
      <c r="D193" s="40"/>
      <c r="E193" s="3"/>
      <c r="F193" s="3"/>
      <c r="G193" s="3"/>
      <c r="H193" s="40"/>
      <c r="I193" s="3"/>
      <c r="J193" s="3"/>
      <c r="K193" s="40"/>
      <c r="L193" s="3"/>
      <c r="M193" s="3"/>
      <c r="N193" s="3"/>
      <c r="O193" s="40"/>
      <c r="P193" s="32"/>
      <c r="Q193" s="32"/>
      <c r="R193" s="32"/>
      <c r="S193" s="32"/>
      <c r="T193" s="75"/>
      <c r="U193" s="32"/>
      <c r="V193" s="32"/>
      <c r="W193" s="32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</row>
    <row x14ac:dyDescent="0.25" r="194" customHeight="1" ht="18.75">
      <c r="A194" s="40"/>
      <c r="B194" s="3"/>
      <c r="C194" s="3"/>
      <c r="D194" s="40"/>
      <c r="E194" s="3"/>
      <c r="F194" s="3"/>
      <c r="G194" s="3"/>
      <c r="H194" s="40"/>
      <c r="I194" s="3"/>
      <c r="J194" s="3"/>
      <c r="K194" s="40"/>
      <c r="L194" s="3"/>
      <c r="M194" s="3"/>
      <c r="N194" s="3"/>
      <c r="O194" s="40"/>
      <c r="P194" s="32"/>
      <c r="Q194" s="32"/>
      <c r="R194" s="32"/>
      <c r="S194" s="32"/>
      <c r="T194" s="75"/>
      <c r="U194" s="32"/>
      <c r="V194" s="32"/>
      <c r="W194" s="32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</row>
    <row x14ac:dyDescent="0.25" r="195" customHeight="1" ht="18.75">
      <c r="A195" s="40"/>
      <c r="B195" s="3"/>
      <c r="C195" s="3"/>
      <c r="D195" s="40"/>
      <c r="E195" s="3"/>
      <c r="F195" s="3"/>
      <c r="G195" s="3"/>
      <c r="H195" s="40"/>
      <c r="I195" s="3"/>
      <c r="J195" s="3"/>
      <c r="K195" s="40"/>
      <c r="L195" s="3"/>
      <c r="M195" s="3"/>
      <c r="N195" s="3"/>
      <c r="O195" s="40"/>
      <c r="P195" s="32"/>
      <c r="Q195" s="32"/>
      <c r="R195" s="32"/>
      <c r="S195" s="32"/>
      <c r="T195" s="75"/>
      <c r="U195" s="32"/>
      <c r="V195" s="32"/>
      <c r="W195" s="32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</row>
    <row x14ac:dyDescent="0.25" r="196" customHeight="1" ht="18.75">
      <c r="A196" s="40"/>
      <c r="B196" s="3"/>
      <c r="C196" s="3"/>
      <c r="D196" s="40"/>
      <c r="E196" s="3"/>
      <c r="F196" s="3"/>
      <c r="G196" s="3"/>
      <c r="H196" s="40"/>
      <c r="I196" s="3"/>
      <c r="J196" s="3"/>
      <c r="K196" s="40"/>
      <c r="L196" s="3"/>
      <c r="M196" s="3"/>
      <c r="N196" s="3"/>
      <c r="O196" s="40"/>
      <c r="P196" s="32"/>
      <c r="Q196" s="32"/>
      <c r="R196" s="32"/>
      <c r="S196" s="32"/>
      <c r="T196" s="75"/>
      <c r="U196" s="32"/>
      <c r="V196" s="32"/>
      <c r="W196" s="32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</row>
    <row x14ac:dyDescent="0.25" r="197" customHeight="1" ht="18.75">
      <c r="A197" s="40"/>
      <c r="B197" s="3"/>
      <c r="C197" s="3"/>
      <c r="D197" s="40"/>
      <c r="E197" s="3"/>
      <c r="F197" s="3"/>
      <c r="G197" s="3"/>
      <c r="H197" s="40"/>
      <c r="I197" s="3"/>
      <c r="J197" s="3"/>
      <c r="K197" s="40"/>
      <c r="L197" s="3"/>
      <c r="M197" s="3"/>
      <c r="N197" s="3"/>
      <c r="O197" s="40"/>
      <c r="P197" s="32"/>
      <c r="Q197" s="32"/>
      <c r="R197" s="32"/>
      <c r="S197" s="32"/>
      <c r="T197" s="75"/>
      <c r="U197" s="32"/>
      <c r="V197" s="32"/>
      <c r="W197" s="32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</row>
    <row x14ac:dyDescent="0.25" r="198" customHeight="1" ht="18.75">
      <c r="A198" s="40"/>
      <c r="B198" s="3"/>
      <c r="C198" s="3"/>
      <c r="D198" s="40"/>
      <c r="E198" s="3"/>
      <c r="F198" s="3"/>
      <c r="G198" s="3"/>
      <c r="H198" s="40"/>
      <c r="I198" s="3"/>
      <c r="J198" s="3"/>
      <c r="K198" s="40"/>
      <c r="L198" s="3"/>
      <c r="M198" s="3"/>
      <c r="N198" s="3"/>
      <c r="O198" s="40"/>
      <c r="P198" s="32"/>
      <c r="Q198" s="32"/>
      <c r="R198" s="32"/>
      <c r="S198" s="32"/>
      <c r="T198" s="75"/>
      <c r="U198" s="32"/>
      <c r="V198" s="32"/>
      <c r="W198" s="32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</row>
    <row x14ac:dyDescent="0.25" r="199" customHeight="1" ht="18.75">
      <c r="A199" s="40"/>
      <c r="B199" s="3"/>
      <c r="C199" s="3"/>
      <c r="D199" s="40"/>
      <c r="E199" s="3"/>
      <c r="F199" s="3"/>
      <c r="G199" s="3"/>
      <c r="H199" s="40"/>
      <c r="I199" s="3"/>
      <c r="J199" s="3"/>
      <c r="K199" s="40"/>
      <c r="L199" s="3"/>
      <c r="M199" s="3"/>
      <c r="N199" s="3"/>
      <c r="O199" s="40"/>
      <c r="P199" s="32"/>
      <c r="Q199" s="32"/>
      <c r="R199" s="32"/>
      <c r="S199" s="32"/>
      <c r="T199" s="75"/>
      <c r="U199" s="32"/>
      <c r="V199" s="32"/>
      <c r="W199" s="32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</row>
    <row x14ac:dyDescent="0.25" r="200" customHeight="1" ht="18.75">
      <c r="A200" s="40"/>
      <c r="B200" s="3"/>
      <c r="C200" s="3"/>
      <c r="D200" s="40"/>
      <c r="E200" s="3"/>
      <c r="F200" s="3"/>
      <c r="G200" s="3"/>
      <c r="H200" s="40"/>
      <c r="I200" s="3"/>
      <c r="J200" s="3"/>
      <c r="K200" s="40"/>
      <c r="L200" s="3"/>
      <c r="M200" s="3"/>
      <c r="N200" s="3"/>
      <c r="O200" s="40"/>
      <c r="P200" s="32"/>
      <c r="Q200" s="32"/>
      <c r="R200" s="32"/>
      <c r="S200" s="32"/>
      <c r="T200" s="75"/>
      <c r="U200" s="32"/>
      <c r="V200" s="32"/>
      <c r="W200" s="32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</row>
    <row x14ac:dyDescent="0.25" r="201" customHeight="1" ht="18.75">
      <c r="A201" s="40"/>
      <c r="B201" s="3"/>
      <c r="C201" s="3"/>
      <c r="D201" s="40"/>
      <c r="E201" s="3"/>
      <c r="F201" s="3"/>
      <c r="G201" s="3"/>
      <c r="H201" s="40"/>
      <c r="I201" s="3"/>
      <c r="J201" s="3"/>
      <c r="K201" s="40"/>
      <c r="L201" s="3"/>
      <c r="M201" s="3"/>
      <c r="N201" s="3"/>
      <c r="O201" s="40"/>
      <c r="P201" s="32"/>
      <c r="Q201" s="32"/>
      <c r="R201" s="32"/>
      <c r="S201" s="32"/>
      <c r="T201" s="75"/>
      <c r="U201" s="32"/>
      <c r="V201" s="32"/>
      <c r="W201" s="32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</row>
    <row x14ac:dyDescent="0.25" r="202" customHeight="1" ht="18.75">
      <c r="A202" s="40"/>
      <c r="B202" s="3"/>
      <c r="C202" s="3"/>
      <c r="D202" s="40"/>
      <c r="E202" s="3"/>
      <c r="F202" s="3"/>
      <c r="G202" s="3"/>
      <c r="H202" s="40"/>
      <c r="I202" s="3"/>
      <c r="J202" s="3"/>
      <c r="K202" s="40"/>
      <c r="L202" s="3"/>
      <c r="M202" s="3"/>
      <c r="N202" s="3"/>
      <c r="O202" s="40"/>
      <c r="P202" s="32"/>
      <c r="Q202" s="32"/>
      <c r="R202" s="32"/>
      <c r="S202" s="32"/>
      <c r="T202" s="75"/>
      <c r="U202" s="32"/>
      <c r="V202" s="32"/>
      <c r="W202" s="32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</row>
    <row x14ac:dyDescent="0.25" r="203" customHeight="1" ht="18.75">
      <c r="A203" s="40"/>
      <c r="B203" s="3"/>
      <c r="C203" s="3"/>
      <c r="D203" s="40"/>
      <c r="E203" s="3"/>
      <c r="F203" s="3"/>
      <c r="G203" s="3"/>
      <c r="H203" s="40"/>
      <c r="I203" s="3"/>
      <c r="J203" s="3"/>
      <c r="K203" s="40"/>
      <c r="L203" s="3"/>
      <c r="M203" s="3"/>
      <c r="N203" s="3"/>
      <c r="O203" s="40"/>
      <c r="P203" s="32"/>
      <c r="Q203" s="32"/>
      <c r="R203" s="32"/>
      <c r="S203" s="32"/>
      <c r="T203" s="75"/>
      <c r="U203" s="32"/>
      <c r="V203" s="32"/>
      <c r="W203" s="32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</row>
    <row x14ac:dyDescent="0.25" r="204" customHeight="1" ht="18.75">
      <c r="A204" s="40"/>
      <c r="B204" s="3"/>
      <c r="C204" s="3"/>
      <c r="D204" s="40"/>
      <c r="E204" s="3"/>
      <c r="F204" s="3"/>
      <c r="G204" s="3"/>
      <c r="H204" s="40"/>
      <c r="I204" s="3"/>
      <c r="J204" s="3"/>
      <c r="K204" s="40"/>
      <c r="L204" s="3"/>
      <c r="M204" s="3"/>
      <c r="N204" s="3"/>
      <c r="O204" s="40"/>
      <c r="P204" s="32"/>
      <c r="Q204" s="32"/>
      <c r="R204" s="32"/>
      <c r="S204" s="32"/>
      <c r="T204" s="75"/>
      <c r="U204" s="32"/>
      <c r="V204" s="32"/>
      <c r="W204" s="32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</row>
    <row x14ac:dyDescent="0.25" r="205" customHeight="1" ht="18.75">
      <c r="A205" s="40"/>
      <c r="B205" s="3"/>
      <c r="C205" s="3"/>
      <c r="D205" s="40"/>
      <c r="E205" s="3"/>
      <c r="F205" s="3"/>
      <c r="G205" s="3"/>
      <c r="H205" s="40"/>
      <c r="I205" s="3"/>
      <c r="J205" s="3"/>
      <c r="K205" s="40"/>
      <c r="L205" s="3"/>
      <c r="M205" s="3"/>
      <c r="N205" s="3"/>
      <c r="O205" s="40"/>
      <c r="P205" s="32"/>
      <c r="Q205" s="32"/>
      <c r="R205" s="32"/>
      <c r="S205" s="32"/>
      <c r="T205" s="75"/>
      <c r="U205" s="32"/>
      <c r="V205" s="32"/>
      <c r="W205" s="32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</row>
    <row x14ac:dyDescent="0.25" r="206" customHeight="1" ht="18.75">
      <c r="A206" s="40"/>
      <c r="B206" s="3"/>
      <c r="C206" s="3"/>
      <c r="D206" s="40"/>
      <c r="E206" s="3"/>
      <c r="F206" s="3"/>
      <c r="G206" s="3"/>
      <c r="H206" s="40"/>
      <c r="I206" s="3"/>
      <c r="J206" s="3"/>
      <c r="K206" s="40"/>
      <c r="L206" s="3"/>
      <c r="M206" s="3"/>
      <c r="N206" s="3"/>
      <c r="O206" s="40"/>
      <c r="P206" s="32"/>
      <c r="Q206" s="32"/>
      <c r="R206" s="32"/>
      <c r="S206" s="32"/>
      <c r="T206" s="75"/>
      <c r="U206" s="32"/>
      <c r="V206" s="32"/>
      <c r="W206" s="32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</row>
    <row x14ac:dyDescent="0.25" r="207" customHeight="1" ht="18.75">
      <c r="A207" s="40"/>
      <c r="B207" s="3"/>
      <c r="C207" s="3"/>
      <c r="D207" s="40"/>
      <c r="E207" s="3"/>
      <c r="F207" s="3"/>
      <c r="G207" s="3"/>
      <c r="H207" s="40"/>
      <c r="I207" s="3"/>
      <c r="J207" s="3"/>
      <c r="K207" s="40"/>
      <c r="L207" s="3"/>
      <c r="M207" s="3"/>
      <c r="N207" s="3"/>
      <c r="O207" s="40"/>
      <c r="P207" s="32"/>
      <c r="Q207" s="32"/>
      <c r="R207" s="32"/>
      <c r="S207" s="32"/>
      <c r="T207" s="75"/>
      <c r="U207" s="32"/>
      <c r="V207" s="32"/>
      <c r="W207" s="32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</row>
    <row x14ac:dyDescent="0.25" r="208" customHeight="1" ht="18.75">
      <c r="A208" s="40"/>
      <c r="B208" s="3"/>
      <c r="C208" s="3"/>
      <c r="D208" s="40"/>
      <c r="E208" s="3"/>
      <c r="F208" s="3"/>
      <c r="G208" s="3"/>
      <c r="H208" s="40"/>
      <c r="I208" s="3"/>
      <c r="J208" s="3"/>
      <c r="K208" s="40"/>
      <c r="L208" s="3"/>
      <c r="M208" s="3"/>
      <c r="N208" s="3"/>
      <c r="O208" s="40"/>
      <c r="P208" s="32"/>
      <c r="Q208" s="32"/>
      <c r="R208" s="32"/>
      <c r="S208" s="32"/>
      <c r="T208" s="75"/>
      <c r="U208" s="32"/>
      <c r="V208" s="32"/>
      <c r="W208" s="32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</row>
    <row x14ac:dyDescent="0.25" r="209" customHeight="1" ht="18.75">
      <c r="A209" s="40"/>
      <c r="B209" s="3"/>
      <c r="C209" s="3"/>
      <c r="D209" s="40"/>
      <c r="E209" s="3"/>
      <c r="F209" s="3"/>
      <c r="G209" s="3"/>
      <c r="H209" s="40"/>
      <c r="I209" s="3"/>
      <c r="J209" s="3"/>
      <c r="K209" s="40"/>
      <c r="L209" s="3"/>
      <c r="M209" s="3"/>
      <c r="N209" s="3"/>
      <c r="O209" s="40"/>
      <c r="P209" s="32"/>
      <c r="Q209" s="32"/>
      <c r="R209" s="32"/>
      <c r="S209" s="32"/>
      <c r="T209" s="75"/>
      <c r="U209" s="32"/>
      <c r="V209" s="32"/>
      <c r="W209" s="32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</row>
    <row x14ac:dyDescent="0.25" r="210" customHeight="1" ht="18.75">
      <c r="A210" s="40"/>
      <c r="B210" s="3"/>
      <c r="C210" s="3"/>
      <c r="D210" s="40"/>
      <c r="E210" s="3"/>
      <c r="F210" s="3"/>
      <c r="G210" s="3"/>
      <c r="H210" s="40"/>
      <c r="I210" s="3"/>
      <c r="J210" s="3"/>
      <c r="K210" s="40"/>
      <c r="L210" s="3"/>
      <c r="M210" s="3"/>
      <c r="N210" s="3"/>
      <c r="O210" s="40"/>
      <c r="P210" s="32"/>
      <c r="Q210" s="32"/>
      <c r="R210" s="32"/>
      <c r="S210" s="32"/>
      <c r="T210" s="75"/>
      <c r="U210" s="32"/>
      <c r="V210" s="32"/>
      <c r="W210" s="32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</row>
    <row x14ac:dyDescent="0.25" r="211" customHeight="1" ht="18.75">
      <c r="A211" s="40"/>
      <c r="B211" s="3"/>
      <c r="C211" s="3"/>
      <c r="D211" s="40"/>
      <c r="E211" s="3"/>
      <c r="F211" s="3"/>
      <c r="G211" s="3"/>
      <c r="H211" s="40"/>
      <c r="I211" s="3"/>
      <c r="J211" s="3"/>
      <c r="K211" s="40"/>
      <c r="L211" s="3"/>
      <c r="M211" s="3"/>
      <c r="N211" s="3"/>
      <c r="O211" s="40"/>
      <c r="P211" s="32"/>
      <c r="Q211" s="32"/>
      <c r="R211" s="32"/>
      <c r="S211" s="32"/>
      <c r="T211" s="75"/>
      <c r="U211" s="32"/>
      <c r="V211" s="32"/>
      <c r="W211" s="32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</row>
    <row x14ac:dyDescent="0.25" r="212" customHeight="1" ht="18.75">
      <c r="A212" s="40"/>
      <c r="B212" s="3"/>
      <c r="C212" s="3"/>
      <c r="D212" s="40"/>
      <c r="E212" s="3"/>
      <c r="F212" s="3"/>
      <c r="G212" s="3"/>
      <c r="H212" s="40"/>
      <c r="I212" s="3"/>
      <c r="J212" s="3"/>
      <c r="K212" s="40"/>
      <c r="L212" s="3"/>
      <c r="M212" s="3"/>
      <c r="N212" s="3"/>
      <c r="O212" s="40"/>
      <c r="P212" s="32"/>
      <c r="Q212" s="32"/>
      <c r="R212" s="32"/>
      <c r="S212" s="32"/>
      <c r="T212" s="75"/>
      <c r="U212" s="32"/>
      <c r="V212" s="32"/>
      <c r="W212" s="32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</row>
    <row x14ac:dyDescent="0.25" r="213" customHeight="1" ht="18.75">
      <c r="A213" s="40"/>
      <c r="B213" s="3"/>
      <c r="C213" s="3"/>
      <c r="D213" s="40"/>
      <c r="E213" s="3"/>
      <c r="F213" s="3"/>
      <c r="G213" s="3"/>
      <c r="H213" s="40"/>
      <c r="I213" s="3"/>
      <c r="J213" s="3"/>
      <c r="K213" s="40"/>
      <c r="L213" s="3"/>
      <c r="M213" s="3"/>
      <c r="N213" s="3"/>
      <c r="O213" s="40"/>
      <c r="P213" s="32"/>
      <c r="Q213" s="32"/>
      <c r="R213" s="32"/>
      <c r="S213" s="32"/>
      <c r="T213" s="75"/>
      <c r="U213" s="32"/>
      <c r="V213" s="32"/>
      <c r="W213" s="32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</row>
    <row x14ac:dyDescent="0.25" r="214" customHeight="1" ht="18.75">
      <c r="A214" s="40"/>
      <c r="B214" s="3"/>
      <c r="C214" s="3"/>
      <c r="D214" s="40"/>
      <c r="E214" s="3"/>
      <c r="F214" s="3"/>
      <c r="G214" s="3"/>
      <c r="H214" s="40"/>
      <c r="I214" s="3"/>
      <c r="J214" s="3"/>
      <c r="K214" s="40"/>
      <c r="L214" s="3"/>
      <c r="M214" s="3"/>
      <c r="N214" s="3"/>
      <c r="O214" s="40"/>
      <c r="P214" s="32"/>
      <c r="Q214" s="32"/>
      <c r="R214" s="32"/>
      <c r="S214" s="32"/>
      <c r="T214" s="75"/>
      <c r="U214" s="32"/>
      <c r="V214" s="32"/>
      <c r="W214" s="32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</row>
    <row x14ac:dyDescent="0.25" r="215" customHeight="1" ht="18.75">
      <c r="A215" s="40"/>
      <c r="B215" s="3"/>
      <c r="C215" s="3"/>
      <c r="D215" s="40"/>
      <c r="E215" s="3"/>
      <c r="F215" s="3"/>
      <c r="G215" s="3"/>
      <c r="H215" s="40"/>
      <c r="I215" s="3"/>
      <c r="J215" s="3"/>
      <c r="K215" s="40"/>
      <c r="L215" s="3"/>
      <c r="M215" s="3"/>
      <c r="N215" s="3"/>
      <c r="O215" s="40"/>
      <c r="P215" s="32"/>
      <c r="Q215" s="32"/>
      <c r="R215" s="32"/>
      <c r="S215" s="32"/>
      <c r="T215" s="75"/>
      <c r="U215" s="32"/>
      <c r="V215" s="32"/>
      <c r="W215" s="32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</row>
    <row x14ac:dyDescent="0.25" r="216" customHeight="1" ht="18.75">
      <c r="A216" s="40"/>
      <c r="B216" s="3"/>
      <c r="C216" s="3"/>
      <c r="D216" s="40"/>
      <c r="E216" s="3"/>
      <c r="F216" s="3"/>
      <c r="G216" s="3"/>
      <c r="H216" s="40"/>
      <c r="I216" s="3"/>
      <c r="J216" s="3"/>
      <c r="K216" s="40"/>
      <c r="L216" s="3"/>
      <c r="M216" s="3"/>
      <c r="N216" s="3"/>
      <c r="O216" s="40"/>
      <c r="P216" s="32"/>
      <c r="Q216" s="32"/>
      <c r="R216" s="32"/>
      <c r="S216" s="32"/>
      <c r="T216" s="75"/>
      <c r="U216" s="32"/>
      <c r="V216" s="32"/>
      <c r="W216" s="32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</row>
    <row x14ac:dyDescent="0.25" r="217" customHeight="1" ht="18.75">
      <c r="A217" s="40"/>
      <c r="B217" s="3"/>
      <c r="C217" s="3"/>
      <c r="D217" s="40"/>
      <c r="E217" s="3"/>
      <c r="F217" s="3"/>
      <c r="G217" s="3"/>
      <c r="H217" s="40"/>
      <c r="I217" s="3"/>
      <c r="J217" s="3"/>
      <c r="K217" s="40"/>
      <c r="L217" s="3"/>
      <c r="M217" s="3"/>
      <c r="N217" s="3"/>
      <c r="O217" s="40"/>
      <c r="P217" s="32"/>
      <c r="Q217" s="32"/>
      <c r="R217" s="32"/>
      <c r="S217" s="32"/>
      <c r="T217" s="75"/>
      <c r="U217" s="32"/>
      <c r="V217" s="32"/>
      <c r="W217" s="32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</row>
    <row x14ac:dyDescent="0.25" r="218" customHeight="1" ht="18.75">
      <c r="A218" s="40"/>
      <c r="B218" s="3"/>
      <c r="C218" s="3"/>
      <c r="D218" s="40"/>
      <c r="E218" s="3"/>
      <c r="F218" s="3"/>
      <c r="G218" s="3"/>
      <c r="H218" s="40"/>
      <c r="I218" s="3"/>
      <c r="J218" s="3"/>
      <c r="K218" s="40"/>
      <c r="L218" s="3"/>
      <c r="M218" s="3"/>
      <c r="N218" s="3"/>
      <c r="O218" s="40"/>
      <c r="P218" s="32"/>
      <c r="Q218" s="32"/>
      <c r="R218" s="32"/>
      <c r="S218" s="32"/>
      <c r="T218" s="75"/>
      <c r="U218" s="32"/>
      <c r="V218" s="32"/>
      <c r="W218" s="32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</row>
    <row x14ac:dyDescent="0.25" r="219" customHeight="1" ht="18.75">
      <c r="A219" s="40"/>
      <c r="B219" s="3"/>
      <c r="C219" s="3"/>
      <c r="D219" s="40"/>
      <c r="E219" s="3"/>
      <c r="F219" s="3"/>
      <c r="G219" s="3"/>
      <c r="H219" s="40"/>
      <c r="I219" s="3"/>
      <c r="J219" s="3"/>
      <c r="K219" s="40"/>
      <c r="L219" s="3"/>
      <c r="M219" s="3"/>
      <c r="N219" s="3"/>
      <c r="O219" s="40"/>
      <c r="P219" s="32"/>
      <c r="Q219" s="32"/>
      <c r="R219" s="32"/>
      <c r="S219" s="32"/>
      <c r="T219" s="75"/>
      <c r="U219" s="32"/>
      <c r="V219" s="32"/>
      <c r="W219" s="32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</row>
    <row x14ac:dyDescent="0.25" r="220" customHeight="1" ht="18.75">
      <c r="A220" s="40"/>
      <c r="B220" s="3"/>
      <c r="C220" s="3"/>
      <c r="D220" s="40"/>
      <c r="E220" s="3"/>
      <c r="F220" s="3"/>
      <c r="G220" s="3"/>
      <c r="H220" s="40"/>
      <c r="I220" s="3"/>
      <c r="J220" s="3"/>
      <c r="K220" s="40"/>
      <c r="L220" s="3"/>
      <c r="M220" s="3"/>
      <c r="N220" s="3"/>
      <c r="O220" s="40"/>
      <c r="P220" s="32"/>
      <c r="Q220" s="32"/>
      <c r="R220" s="32"/>
      <c r="S220" s="32"/>
      <c r="T220" s="75"/>
      <c r="U220" s="32"/>
      <c r="V220" s="32"/>
      <c r="W220" s="32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</row>
    <row x14ac:dyDescent="0.25" r="221" customHeight="1" ht="18.75">
      <c r="A221" s="40"/>
      <c r="B221" s="3"/>
      <c r="C221" s="3"/>
      <c r="D221" s="40"/>
      <c r="E221" s="3"/>
      <c r="F221" s="3"/>
      <c r="G221" s="3"/>
      <c r="H221" s="40"/>
      <c r="I221" s="3"/>
      <c r="J221" s="3"/>
      <c r="K221" s="40"/>
      <c r="L221" s="3"/>
      <c r="M221" s="3"/>
      <c r="N221" s="3"/>
      <c r="O221" s="40"/>
      <c r="P221" s="32"/>
      <c r="Q221" s="32"/>
      <c r="R221" s="32"/>
      <c r="S221" s="32"/>
      <c r="T221" s="75"/>
      <c r="U221" s="32"/>
      <c r="V221" s="32"/>
      <c r="W221" s="32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</row>
    <row x14ac:dyDescent="0.25" r="222" customHeight="1" ht="18.75">
      <c r="A222" s="40"/>
      <c r="B222" s="3"/>
      <c r="C222" s="3"/>
      <c r="D222" s="40"/>
      <c r="E222" s="3"/>
      <c r="F222" s="3"/>
      <c r="G222" s="3"/>
      <c r="H222" s="40"/>
      <c r="I222" s="3"/>
      <c r="J222" s="3"/>
      <c r="K222" s="40"/>
      <c r="L222" s="3"/>
      <c r="M222" s="3"/>
      <c r="N222" s="3"/>
      <c r="O222" s="40"/>
      <c r="P222" s="32"/>
      <c r="Q222" s="32"/>
      <c r="R222" s="32"/>
      <c r="S222" s="32"/>
      <c r="T222" s="75"/>
      <c r="U222" s="32"/>
      <c r="V222" s="32"/>
      <c r="W222" s="32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</row>
  </sheetData>
  <mergeCells count="21">
    <mergeCell ref="B1:E1"/>
    <mergeCell ref="F1:G1"/>
    <mergeCell ref="I1:L1"/>
    <mergeCell ref="M1:N1"/>
    <mergeCell ref="P1:U1"/>
    <mergeCell ref="V1:W1"/>
    <mergeCell ref="B3:F3"/>
    <mergeCell ref="I3:M3"/>
    <mergeCell ref="P3:V3"/>
    <mergeCell ref="B7:F7"/>
    <mergeCell ref="I7:M7"/>
    <mergeCell ref="P7:V7"/>
    <mergeCell ref="B11:F11"/>
    <mergeCell ref="I11:M11"/>
    <mergeCell ref="P11:V11"/>
    <mergeCell ref="B15:G15"/>
    <mergeCell ref="I16:M16"/>
    <mergeCell ref="P16:V16"/>
    <mergeCell ref="P20:V20"/>
    <mergeCell ref="I21:N21"/>
    <mergeCell ref="P25:W2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S36"/>
  <sheetViews>
    <sheetView workbookViewId="0"/>
  </sheetViews>
  <sheetFormatPr defaultRowHeight="15" x14ac:dyDescent="0.25"/>
  <cols>
    <col min="1" max="1" style="12" width="4.433571428571429" customWidth="1" bestFit="1"/>
    <col min="2" max="2" style="11" width="13.43357142857143" customWidth="1" bestFit="1"/>
    <col min="3" max="3" style="69" width="10.43357142857143" customWidth="1" bestFit="1"/>
    <col min="4" max="4" style="70" width="6.433571428571429" customWidth="1" bestFit="1"/>
    <col min="5" max="5" style="13" width="19.862142857142857" customWidth="1" bestFit="1"/>
    <col min="6" max="6" style="13" width="19.862142857142857" customWidth="1" bestFit="1"/>
    <col min="7" max="7" style="11" width="2.2907142857142855" customWidth="1" bestFit="1"/>
    <col min="8" max="8" style="11" width="13.43357142857143" customWidth="1" bestFit="1"/>
    <col min="9" max="9" style="69" width="10.43357142857143" customWidth="1" bestFit="1"/>
    <col min="10" max="10" style="70" width="11.719285714285713" customWidth="1" bestFit="1"/>
    <col min="11" max="11" style="13" width="19.862142857142857" customWidth="1" bestFit="1"/>
    <col min="12" max="12" style="13" width="21.719285714285714" customWidth="1" bestFit="1"/>
    <col min="13" max="13" style="11" width="9.147857142857141" customWidth="1" bestFit="1"/>
    <col min="14" max="14" style="11" width="13.43357142857143" customWidth="1" bestFit="1"/>
    <col min="15" max="15" style="69" width="10.43357142857143" customWidth="1" bestFit="1"/>
    <col min="16" max="16" style="70" width="20.719285714285714" customWidth="1" bestFit="1"/>
    <col min="17" max="17" style="13" width="19.862142857142857" customWidth="1" bestFit="1"/>
    <col min="18" max="18" style="13" width="19.862142857142857" customWidth="1" bestFit="1"/>
    <col min="19" max="19" style="13" width="21.719285714285714" customWidth="1" bestFit="1"/>
  </cols>
  <sheetData>
    <row x14ac:dyDescent="0.25" r="1" customHeight="1" ht="13.5">
      <c r="A1" s="2"/>
      <c r="B1" s="1"/>
      <c r="C1" s="39"/>
      <c r="D1" s="40"/>
      <c r="E1" s="3"/>
      <c r="F1" s="3"/>
      <c r="G1" s="1"/>
      <c r="H1" s="41" t="s">
        <v>23</v>
      </c>
      <c r="I1" s="42"/>
      <c r="J1" s="43" t="s">
        <v>24</v>
      </c>
      <c r="K1" s="3"/>
      <c r="L1" s="3"/>
      <c r="M1" s="1"/>
      <c r="N1" s="41" t="s">
        <v>23</v>
      </c>
      <c r="O1" s="42"/>
      <c r="P1" s="43" t="s">
        <v>22</v>
      </c>
      <c r="Q1" s="44" t="s">
        <v>25</v>
      </c>
      <c r="R1" s="45"/>
      <c r="S1" s="3"/>
    </row>
    <row x14ac:dyDescent="0.25" r="2" customHeight="1" ht="15">
      <c r="A2" s="2"/>
      <c r="B2" s="1"/>
      <c r="C2" s="39"/>
      <c r="D2" s="40"/>
      <c r="E2" s="3"/>
      <c r="F2" s="3"/>
      <c r="G2" s="1"/>
      <c r="H2" s="46"/>
      <c r="I2" s="42"/>
      <c r="J2" s="47"/>
      <c r="K2" s="3"/>
      <c r="L2" s="3"/>
      <c r="M2" s="1"/>
      <c r="N2" s="46"/>
      <c r="O2" s="42"/>
      <c r="P2" s="47"/>
      <c r="Q2" s="45"/>
      <c r="R2" s="45"/>
      <c r="S2" s="3"/>
    </row>
    <row x14ac:dyDescent="0.25" r="3" customHeight="1" ht="18.75">
      <c r="A3" s="32"/>
      <c r="B3" s="48" t="s">
        <v>26</v>
      </c>
      <c r="C3" s="49"/>
      <c r="D3" s="50" t="s">
        <v>27</v>
      </c>
      <c r="E3" s="51" t="s">
        <v>12</v>
      </c>
      <c r="F3" s="52" t="s">
        <v>28</v>
      </c>
      <c r="G3" s="53"/>
      <c r="H3" s="48" t="s">
        <v>29</v>
      </c>
      <c r="I3" s="49"/>
      <c r="J3" s="50" t="s">
        <v>27</v>
      </c>
      <c r="K3" s="51" t="s">
        <v>12</v>
      </c>
      <c r="L3" s="52" t="s">
        <v>28</v>
      </c>
      <c r="M3" s="1"/>
      <c r="N3" s="48" t="s">
        <v>20</v>
      </c>
      <c r="O3" s="49"/>
      <c r="P3" s="50" t="s">
        <v>27</v>
      </c>
      <c r="Q3" s="51" t="s">
        <v>30</v>
      </c>
      <c r="R3" s="51" t="s">
        <v>31</v>
      </c>
      <c r="S3" s="52" t="s">
        <v>28</v>
      </c>
    </row>
    <row x14ac:dyDescent="0.25" r="4" customHeight="1" ht="24.75">
      <c r="A4" s="32"/>
      <c r="B4" s="54" t="s">
        <v>32</v>
      </c>
      <c r="C4" s="55" t="s">
        <v>33</v>
      </c>
      <c r="D4" s="56">
        <f>SUM(D5:D21)</f>
      </c>
      <c r="E4" s="57">
        <f>SUM(E5:E30)</f>
      </c>
      <c r="F4" s="58">
        <v>6000</v>
      </c>
      <c r="G4" s="59"/>
      <c r="H4" s="54" t="s">
        <v>32</v>
      </c>
      <c r="I4" s="55" t="s">
        <v>33</v>
      </c>
      <c r="J4" s="60">
        <f>SUM(J5:J29)</f>
      </c>
      <c r="K4" s="57">
        <f>SUM(K5:K32)</f>
      </c>
      <c r="L4" s="58">
        <f>IF(J1&lt;&gt;"GERAL", 'RESUMO MENSAL'!M1/4, 'RESUMO MENSAL'!M1)</f>
      </c>
      <c r="M4" s="1"/>
      <c r="N4" s="54" t="s">
        <v>32</v>
      </c>
      <c r="O4" s="55" t="s">
        <v>33</v>
      </c>
      <c r="P4" s="60">
        <f>SUM(P5:P29)</f>
      </c>
      <c r="Q4" s="57">
        <f>SUM(Q5:Q32)</f>
      </c>
      <c r="R4" s="57">
        <f>SUM(R5:R31)</f>
      </c>
      <c r="S4" s="58">
        <f>IF(P1="GERAL",'RESUMO MENSAL'!V1, 'RESUMO MENSAL'!V1/5)</f>
      </c>
    </row>
    <row x14ac:dyDescent="0.25" r="5" customHeight="1" ht="15">
      <c r="A5" s="32"/>
      <c r="B5" s="61">
        <f>TEXT(C5,"0")</f>
      </c>
      <c r="C5" s="62">
        <v>45695</v>
      </c>
      <c r="D5" s="63">
        <f>SUMIF('FEV 2025'!A2:A962,'VENDA DIA A DIA'!C5,'FEV 2025'!D2:D966)</f>
      </c>
      <c r="E5" s="28">
        <f>SUMIF('FEV 2025'!A2:A962,'VENDA DIA A DIA'!C5,'FEV 2025'!H2:H962)</f>
      </c>
      <c r="F5" s="28">
        <f>F4/15</f>
      </c>
      <c r="G5" s="32"/>
      <c r="H5" s="61">
        <f>TEXT(I5,"0")</f>
      </c>
      <c r="I5" s="64">
        <v>45723</v>
      </c>
      <c r="J5" s="29">
        <f>SUMIF('MAR 2025'!A2:A892,'VENDA DIA A DIA'!I5,'MAR 2025'!D2:D892)</f>
      </c>
      <c r="K5" s="28">
        <f>SUMIF('MAR 2025'!A2:A954,'VENDA DIA A DIA'!I5,'MAR 2025'!H2:H954)</f>
      </c>
      <c r="L5" s="28">
        <f>L4/25</f>
      </c>
      <c r="M5" s="1"/>
      <c r="N5" s="61">
        <f>TEXT(O5,"0")</f>
      </c>
      <c r="O5" s="64">
        <v>45758</v>
      </c>
      <c r="P5" s="29">
        <f>SUMIF('ABRIL 2025'!A:A,'VENDA DIA A DIA'!O5,'ABRIL 2025'!D:D)</f>
      </c>
      <c r="Q5" s="28">
        <f>IF(P1="GERAL", SUMIF('ABRIL 2025'!A:A,'VENDA DIA A DIA'!O5,'ABRIL 2025'!H:H), SUMIFS('ABRIL 2025'!H:H, 'ABRIL 2025'!A:A, 'VENDA DIA A DIA'!O5, 'ABRIL 2025'!K:K, P1))</f>
      </c>
      <c r="R5" s="28">
        <f>IF(P1="GERAL", SUMIF('ABRIL 2025'!A:A,'VENDA DIA A DIA'!O5,'ABRIL 2025'!J:J), SUMIFS('ABRIL 2025'!J:J, 'ABRIL 2025'!A:A, 'VENDA DIA A DIA'!O5, 'ABRIL 2025'!K:K, P1))</f>
      </c>
      <c r="S5" s="28">
        <f>S4/16</f>
      </c>
    </row>
    <row x14ac:dyDescent="0.25" r="6" customHeight="1" ht="18.75">
      <c r="A6" s="32"/>
      <c r="B6" s="61">
        <f>TEXT(C6,"0")</f>
      </c>
      <c r="C6" s="65">
        <v>45700</v>
      </c>
      <c r="D6" s="66">
        <f>SUMIF('FEV 2025'!A3:A963,'VENDA DIA A DIA'!C6,'FEV 2025'!D3:D967)</f>
      </c>
      <c r="E6" s="28">
        <f>SUMIF('FEV 2025'!A2:A963,'VENDA DIA A DIA'!C6,'FEV 2025'!H2:H963)</f>
      </c>
      <c r="F6" s="28">
        <f>F4/15</f>
      </c>
      <c r="G6" s="32"/>
      <c r="H6" s="61">
        <f>TEXT(I6,"0")</f>
      </c>
      <c r="I6" s="64">
        <v>45724</v>
      </c>
      <c r="J6" s="29">
        <f>SUMIF('MAR 2025'!A3:A893,'VENDA DIA A DIA'!I6,'MAR 2025'!D3:D893)</f>
      </c>
      <c r="K6" s="28">
        <f>SUMIF('MAR 2025'!A3:A955,'VENDA DIA A DIA'!I6,'MAR 2025'!H3:H955)</f>
      </c>
      <c r="L6" s="28">
        <f>L4/25</f>
      </c>
      <c r="M6" s="1"/>
      <c r="N6" s="61">
        <f>TEXT(O6,"0")</f>
      </c>
      <c r="O6" s="64">
        <v>45759</v>
      </c>
      <c r="P6" s="29">
        <f>SUMIF('ABRIL 2025'!A:A,'VENDA DIA A DIA'!O6,'ABRIL 2025'!D:D)</f>
      </c>
      <c r="Q6" s="28">
        <f>IF(P1="GERAL", SUMIF('ABRIL 2025'!A:A,'VENDA DIA A DIA'!O6,'ABRIL 2025'!H:H), SUMIFS('ABRIL 2025'!H:H, 'ABRIL 2025'!A:A, 'VENDA DIA A DIA'!O6, 'ABRIL 2025'!K:K, P1))</f>
      </c>
      <c r="R6" s="28">
        <f>IF(P2="GERAL", SUMIF('ABRIL 2025'!A:A,'VENDA DIA A DIA'!O6,'ABRIL 2025'!J:J), SUMIFS('ABRIL 2025'!J:J, 'ABRIL 2025'!A:A, 'VENDA DIA A DIA'!O6, 'ABRIL 2025'!K:K, P2))</f>
      </c>
      <c r="S6" s="28">
        <f>S4/16</f>
      </c>
    </row>
    <row x14ac:dyDescent="0.25" r="7" customHeight="1" ht="18.75">
      <c r="A7" s="32"/>
      <c r="B7" s="61">
        <f>TEXT(C7,"0")</f>
      </c>
      <c r="C7" s="65">
        <v>45719</v>
      </c>
      <c r="D7" s="66">
        <f>SUMIF('FEV 2025'!A4:A964,'VENDA DIA A DIA'!C7,'FEV 2025'!D4:D968)</f>
      </c>
      <c r="E7" s="28">
        <f>SUMIF('FEV 2025'!A4:A964,'VENDA DIA A DIA'!C7,'FEV 2025'!H4:H964)</f>
      </c>
      <c r="F7" s="28">
        <f>F4/15</f>
      </c>
      <c r="G7" s="32"/>
      <c r="H7" s="61">
        <f>TEXT(I7,"0")</f>
      </c>
      <c r="I7" s="64">
        <v>45725</v>
      </c>
      <c r="J7" s="29">
        <f>SUMIF('MAR 2025'!A4:A894,'VENDA DIA A DIA'!I7,'MAR 2025'!D4:D894)</f>
      </c>
      <c r="K7" s="28">
        <f>SUMIF('MAR 2025'!A4:A956,'VENDA DIA A DIA'!I7,'MAR 2025'!H4:H956)</f>
      </c>
      <c r="L7" s="28">
        <f>L4/25</f>
      </c>
      <c r="M7" s="1"/>
      <c r="N7" s="61">
        <f>TEXT(O7,"0")</f>
      </c>
      <c r="O7" s="64">
        <v>45760</v>
      </c>
      <c r="P7" s="29">
        <f>SUMIF('ABRIL 2025'!A:A,'VENDA DIA A DIA'!O7,'ABRIL 2025'!D:D)</f>
      </c>
      <c r="Q7" s="28">
        <f>IF(P1="GERAL", SUMIF('ABRIL 2025'!A:A,'VENDA DIA A DIA'!O7,'ABRIL 2025'!H:H), SUMIFS('ABRIL 2025'!H:H, 'ABRIL 2025'!A:A, 'VENDA DIA A DIA'!O7, 'ABRIL 2025'!K:K, P1))</f>
      </c>
      <c r="R7" s="28">
        <f>IF(P3="GERAL", SUMIF('ABRIL 2025'!A:A,'VENDA DIA A DIA'!O7,'ABRIL 2025'!J:J), SUMIFS('ABRIL 2025'!J:J, 'ABRIL 2025'!A:A, 'VENDA DIA A DIA'!O7, 'ABRIL 2025'!K:K, P3))</f>
      </c>
      <c r="S7" s="28">
        <f>S4/16</f>
      </c>
    </row>
    <row x14ac:dyDescent="0.25" r="8" customHeight="1" ht="18.75">
      <c r="A8" s="32"/>
      <c r="B8" s="61">
        <f>TEXT(C8,"0")</f>
      </c>
      <c r="C8" s="65">
        <v>45698</v>
      </c>
      <c r="D8" s="66">
        <f>SUMIF('FEV 2025'!A2:A766,'VENDA DIA A DIA'!C8,'FEV 2025'!D2:D766)</f>
      </c>
      <c r="E8" s="28">
        <f>SUMIF('FEV 2025'!A7:A967,'VENDA DIA A DIA'!C8,'FEV 2025'!H7:H967)</f>
      </c>
      <c r="F8" s="28">
        <f>F4/15</f>
      </c>
      <c r="G8" s="32"/>
      <c r="H8" s="61">
        <f>TEXT(I8,"0")</f>
      </c>
      <c r="I8" s="64">
        <v>45726</v>
      </c>
      <c r="J8" s="29">
        <f>SUMIF('MAR 2025'!A5:A895,'VENDA DIA A DIA'!I8,'MAR 2025'!D5:D895)</f>
      </c>
      <c r="K8" s="28">
        <f>SUMIF('MAR 2025'!A5:A957,'VENDA DIA A DIA'!I8,'MAR 2025'!H5:H957)</f>
      </c>
      <c r="L8" s="28">
        <f>L4/25</f>
      </c>
      <c r="M8" s="1"/>
      <c r="N8" s="61">
        <f>TEXT(O8,"0")</f>
      </c>
      <c r="O8" s="64">
        <v>45761</v>
      </c>
      <c r="P8" s="29">
        <f>SUMIF('ABRIL 2025'!A:A,'VENDA DIA A DIA'!O8,'ABRIL 2025'!D:D)</f>
      </c>
      <c r="Q8" s="28">
        <f>IF(P1="GERAL", SUMIF('ABRIL 2025'!A:A,'VENDA DIA A DIA'!O8,'ABRIL 2025'!H:H), SUMIFS('ABRIL 2025'!H:H, 'ABRIL 2025'!A:A, 'VENDA DIA A DIA'!O8, 'ABRIL 2025'!K:K, P1))</f>
      </c>
      <c r="R8" s="28">
        <f>IF(P1="GERAL", SUMIF('ABRIL 2025'!A:A,'VENDA DIA A DIA'!O8,'ABRIL 2025'!J:J), SUMIFS('ABRIL 2025'!J:J, 'ABRIL 2025'!A:A, 'VENDA DIA A DIA'!O8, 'ABRIL 2025'!K:K, P1))</f>
      </c>
      <c r="S8" s="28">
        <f>S4/16</f>
      </c>
    </row>
    <row x14ac:dyDescent="0.25" r="9" customHeight="1" ht="18.75">
      <c r="A9" s="32"/>
      <c r="B9" s="61">
        <f>TEXT(C9,"0")</f>
      </c>
      <c r="C9" s="65">
        <v>45699</v>
      </c>
      <c r="D9" s="66">
        <f>SUMIF('FEV 2025'!A6:A966,'VENDA DIA A DIA'!C9,'FEV 2025'!D6:D970)</f>
      </c>
      <c r="E9" s="28">
        <f>SUMIF('FEV 2025'!A8:A968,'VENDA DIA A DIA'!C9,'FEV 2025'!H8:H968)</f>
      </c>
      <c r="F9" s="28">
        <f>F4/15</f>
      </c>
      <c r="G9" s="32"/>
      <c r="H9" s="61">
        <f>TEXT(I9,"0")</f>
      </c>
      <c r="I9" s="64">
        <v>45727</v>
      </c>
      <c r="J9" s="29">
        <f>SUMIF('MAR 2025'!A6:A896,'VENDA DIA A DIA'!I9,'MAR 2025'!D6:D896)</f>
      </c>
      <c r="K9" s="28">
        <f>SUMIF('MAR 2025'!A6:A958,'VENDA DIA A DIA'!I9,'MAR 2025'!H6:H958)</f>
      </c>
      <c r="L9" s="28">
        <f>L4/25</f>
      </c>
      <c r="M9" s="1"/>
      <c r="N9" s="61">
        <f>TEXT(O9,"0")</f>
      </c>
      <c r="O9" s="64">
        <v>45762</v>
      </c>
      <c r="P9" s="29">
        <f>SUMIF('ABRIL 2025'!A:A,'VENDA DIA A DIA'!O9,'ABRIL 2025'!D:D)</f>
      </c>
      <c r="Q9" s="28">
        <f>IF(P1="GERAL", SUMIF('ABRIL 2025'!A:A,'VENDA DIA A DIA'!O9,'ABRIL 2025'!H:H), SUMIFS('ABRIL 2025'!H:H, 'ABRIL 2025'!A:A, 'VENDA DIA A DIA'!O9, 'ABRIL 2025'!K:K, P1))</f>
      </c>
      <c r="R9" s="28">
        <f>IF(P1="GERAL", SUMIF('ABRIL 2025'!A:A,'VENDA DIA A DIA'!O9,'ABRIL 2025'!J:J), SUMIFS('ABRIL 2025'!J:J, 'ABRIL 2025'!A:A, 'VENDA DIA A DIA'!O9, 'ABRIL 2025'!K:K, P1))</f>
      </c>
      <c r="S9" s="28">
        <f>S4/16</f>
      </c>
    </row>
    <row x14ac:dyDescent="0.25" r="10" customHeight="1" ht="18.75">
      <c r="A10" s="32"/>
      <c r="B10" s="61">
        <f>TEXT(C10,"0")</f>
      </c>
      <c r="C10" s="65" t="s">
        <v>34</v>
      </c>
      <c r="D10" s="66">
        <f>SUMIF('FEV 2025'!A7:A967,'VENDA DIA A DIA'!C10,'FEV 2025'!D7:D971)</f>
      </c>
      <c r="E10" s="28">
        <f>SUMIF('FEV 2025'!A8:A969,'VENDA DIA A DIA'!C10,'FEV 2025'!H8:H969)</f>
      </c>
      <c r="F10" s="28">
        <f>F4/15</f>
      </c>
      <c r="G10" s="32"/>
      <c r="H10" s="61">
        <f>TEXT(I10,"0")</f>
      </c>
      <c r="I10" s="64">
        <v>45728</v>
      </c>
      <c r="J10" s="29">
        <f>SUMIF('MAR 2025'!A7:A897,'VENDA DIA A DIA'!I10,'MAR 2025'!D7:D897)</f>
      </c>
      <c r="K10" s="28">
        <f>SUMIF('MAR 2025'!A7:A959,'VENDA DIA A DIA'!I10,'MAR 2025'!H7:H959)</f>
      </c>
      <c r="L10" s="28">
        <f>L4/25</f>
      </c>
      <c r="M10" s="1"/>
      <c r="N10" s="61">
        <f>TEXT(O10,"0")</f>
      </c>
      <c r="O10" s="64">
        <v>45763</v>
      </c>
      <c r="P10" s="29">
        <f>SUMIF('ABRIL 2025'!A:A,'VENDA DIA A DIA'!O10,'ABRIL 2025'!D:D)</f>
      </c>
      <c r="Q10" s="28">
        <f>IF(P1="GERAL", SUMIF('ABRIL 2025'!A:A,'VENDA DIA A DIA'!O10,'ABRIL 2025'!H:H), SUMIFS('ABRIL 2025'!H:H, 'ABRIL 2025'!A:A, 'VENDA DIA A DIA'!O10, 'ABRIL 2025'!K:K, P1))</f>
      </c>
      <c r="R10" s="28">
        <f>IF(P1="GERAL", SUMIF('ABRIL 2025'!A:A,'VENDA DIA A DIA'!O10,'ABRIL 2025'!J:J), SUMIFS('ABRIL 2025'!J:J, 'ABRIL 2025'!A:A, 'VENDA DIA A DIA'!O10, 'ABRIL 2025'!K:K, P1))</f>
      </c>
      <c r="S10" s="28">
        <f>S4/16</f>
      </c>
    </row>
    <row x14ac:dyDescent="0.25" r="11" customHeight="1" ht="18.75">
      <c r="A11" s="32"/>
      <c r="B11" s="61">
        <f>TEXT(C11,"0")</f>
      </c>
      <c r="C11" s="65" t="s">
        <v>35</v>
      </c>
      <c r="D11" s="66">
        <f>SUMIF('FEV 2025'!A8:A968,'VENDA DIA A DIA'!C11,'FEV 2025'!D8:D972)</f>
      </c>
      <c r="E11" s="28">
        <f>SUMIF('FEV 2025'!A8:A970,'VENDA DIA A DIA'!C11,'FEV 2025'!H8:H970)</f>
      </c>
      <c r="F11" s="28">
        <f>F4/15</f>
      </c>
      <c r="G11" s="32"/>
      <c r="H11" s="61">
        <f>TEXT(I11,"0")</f>
      </c>
      <c r="I11" s="64">
        <v>45729</v>
      </c>
      <c r="J11" s="29">
        <f>IF(J1="GERAL", SUMIF('MAR 2025'!A2:A901,'VENDA DIA A DIA'!I11,'MAR 2025'!D2:D960), SUMIFS('MAR 2025'!D2:D501, 'MAR 2025'!A2:A501, 'VENDA DIA A DIA'!I11, 'MAR 2025'!I2:I501, J1))</f>
      </c>
      <c r="K11" s="28">
        <f>IF(J1="GERAL", SUMIF('MAR 2025'!A2:A901,'VENDA DIA A DIA'!I11,'MAR 2025'!H2:H960), SUMIFS('MAR 2025'!H2:H501, 'MAR 2025'!A2:A501, 'VENDA DIA A DIA'!I11, 'MAR 2025'!I2:I501, J1))</f>
      </c>
      <c r="L11" s="28">
        <f>L4/25</f>
      </c>
      <c r="M11" s="1"/>
      <c r="N11" s="61">
        <f>TEXT(O11,"0")</f>
      </c>
      <c r="O11" s="64">
        <v>45764</v>
      </c>
      <c r="P11" s="29">
        <f>SUMIF('ABRIL 2025'!A:A,'VENDA DIA A DIA'!O11,'ABRIL 2025'!D:D)</f>
      </c>
      <c r="Q11" s="28">
        <f>IF(P1="GERAL", SUMIF('ABRIL 2025'!A:A,'VENDA DIA A DIA'!O11,'ABRIL 2025'!H:H), SUMIFS('ABRIL 2025'!H:H, 'ABRIL 2025'!A:A, 'VENDA DIA A DIA'!O11, 'ABRIL 2025'!K:K, P1))</f>
      </c>
      <c r="R11" s="28">
        <f>IF(P1="GERAL", SUMIF('ABRIL 2025'!A:A,'VENDA DIA A DIA'!O11,'ABRIL 2025'!J:J), SUMIFS('ABRIL 2025'!J:J, 'ABRIL 2025'!A:A, 'VENDA DIA A DIA'!O11, 'ABRIL 2025'!K:K, P1))</f>
      </c>
      <c r="S11" s="28">
        <f>S4/16</f>
      </c>
    </row>
    <row x14ac:dyDescent="0.25" r="12" customHeight="1" ht="18.75">
      <c r="A12" s="32"/>
      <c r="B12" s="61">
        <f>TEXT(C12,"0")</f>
      </c>
      <c r="C12" s="67" t="s">
        <v>36</v>
      </c>
      <c r="D12" s="66">
        <f>SUMIF('FEV 2025'!A8:A969,'VENDA DIA A DIA'!C12,'FEV 2025'!D8:D973)</f>
      </c>
      <c r="E12" s="28">
        <f>SUMIF('FEV 2025'!A8:A971,'VENDA DIA A DIA'!C12,'FEV 2025'!H8:H971)</f>
      </c>
      <c r="F12" s="28">
        <f>F4/15</f>
      </c>
      <c r="G12" s="32"/>
      <c r="H12" s="61">
        <f>TEXT(I12,"0")</f>
      </c>
      <c r="I12" s="64">
        <v>45730</v>
      </c>
      <c r="J12" s="29">
        <f>IF(J1="GERAL", SUMIF('MAR 2025'!A2:A901,'VENDA DIA A DIA'!I12,'MAR 2025'!D2:D960), SUMIFS('MAR 2025'!D2:D900, 'MAR 2025'!A2:A900, 'VENDA DIA A DIA'!I12, 'MAR 2025'!I2:I900, J1))</f>
      </c>
      <c r="K12" s="28">
        <f>IF(J1="GERAL", SUMIF('MAR 2025'!A2:A960,'VENDA DIA A DIA'!I12,'MAR 2025'!H2:H960), SUMIFS('MAR 2025'!H2:H900, 'MAR 2025'!A2:A900, 'VENDA DIA A DIA'!I12, 'MAR 2025'!I2:I900, J1))</f>
      </c>
      <c r="L12" s="28">
        <f>L4/25</f>
      </c>
      <c r="M12" s="1"/>
      <c r="N12" s="61">
        <f>TEXT(O12,"0")</f>
      </c>
      <c r="O12" s="64">
        <v>45765</v>
      </c>
      <c r="P12" s="29">
        <f>SUMIF('ABRIL 2025'!A:A,'VENDA DIA A DIA'!O12,'ABRIL 2025'!D:D)</f>
      </c>
      <c r="Q12" s="28">
        <f>IF(P1="GERAL", SUMIF('ABRIL 2025'!A:A,'VENDA DIA A DIA'!O12,'ABRIL 2025'!H:H), SUMIFS('ABRIL 2025'!H:H, 'ABRIL 2025'!A:A, 'VENDA DIA A DIA'!O12, 'ABRIL 2025'!K:K, P1))</f>
      </c>
      <c r="R12" s="28">
        <f>IF(P1="GERAL", SUMIF('ABRIL 2025'!A:A,'VENDA DIA A DIA'!O12,'ABRIL 2025'!J:J), SUMIFS('ABRIL 2025'!J:J, 'ABRIL 2025'!A:A, 'VENDA DIA A DIA'!O12, 'ABRIL 2025'!K:K, P1))</f>
      </c>
      <c r="S12" s="28">
        <f>S4/16</f>
      </c>
    </row>
    <row x14ac:dyDescent="0.25" r="13" customHeight="1" ht="18.75">
      <c r="A13" s="32"/>
      <c r="B13" s="61">
        <f>TEXT(C13,"0")</f>
      </c>
      <c r="C13" s="65" t="s">
        <v>37</v>
      </c>
      <c r="D13" s="66">
        <f>SUMIF('FEV 2025'!A8:A970,'VENDA DIA A DIA'!C13,'FEV 2025'!D8:D974)</f>
      </c>
      <c r="E13" s="28">
        <f>SUMIF('FEV 2025'!A8:A972,'VENDA DIA A DIA'!C13,'FEV 2025'!H8:H972)</f>
      </c>
      <c r="F13" s="28">
        <f>F4/15</f>
      </c>
      <c r="G13" s="32"/>
      <c r="H13" s="61">
        <f>TEXT(I13,"0")</f>
      </c>
      <c r="I13" s="64">
        <v>45731</v>
      </c>
      <c r="J13" s="29">
        <f>SUMIF('MAR 2025'!A10:A900,'VENDA DIA A DIA'!I13,'MAR 2025'!D10:D900)</f>
      </c>
      <c r="K13" s="28">
        <f>SUMIF('MAR 2025'!A10:A962,'VENDA DIA A DIA'!I13,'MAR 2025'!H10:H962)</f>
      </c>
      <c r="L13" s="28">
        <f>L4/25</f>
      </c>
      <c r="M13" s="1"/>
      <c r="N13" s="61">
        <f>TEXT(O13,"0")</f>
      </c>
      <c r="O13" s="64">
        <v>45766</v>
      </c>
      <c r="P13" s="29">
        <f>SUMIF('ABRIL 2025'!A:A,'VENDA DIA A DIA'!O13,'ABRIL 2025'!D:D)</f>
      </c>
      <c r="Q13" s="28">
        <f>IF(P1="GERAL", SUMIF('ABRIL 2025'!A:A,'VENDA DIA A DIA'!O13,'ABRIL 2025'!H:H), SUMIFS('ABRIL 2025'!H:H, 'ABRIL 2025'!A:A, 'VENDA DIA A DIA'!O13, 'ABRIL 2025'!K:K, P1))</f>
      </c>
      <c r="R13" s="28">
        <f>IF(P1="GERAL", SUMIF('ABRIL 2025'!A:A,'VENDA DIA A DIA'!O13,'ABRIL 2025'!J:J), SUMIFS('ABRIL 2025'!J:J, 'ABRIL 2025'!A:A, 'VENDA DIA A DIA'!O13, 'ABRIL 2025'!K:K, P1))</f>
      </c>
      <c r="S13" s="28">
        <f>S4/16</f>
      </c>
    </row>
    <row x14ac:dyDescent="0.25" r="14" customHeight="1" ht="18.75">
      <c r="A14" s="32"/>
      <c r="B14" s="61">
        <f>TEXT(C14,"0")</f>
      </c>
      <c r="C14" s="67" t="s">
        <v>38</v>
      </c>
      <c r="D14" s="66">
        <f>SUMIF('FEV 2025'!A8:A971,'VENDA DIA A DIA'!C14,'FEV 2025'!D8:D975)</f>
      </c>
      <c r="E14" s="28">
        <f>SUMIF('FEV 2025'!A8:A973,'VENDA DIA A DIA'!C14,'FEV 2025'!H8:H973)</f>
      </c>
      <c r="F14" s="28">
        <f>F4/15</f>
      </c>
      <c r="G14" s="32"/>
      <c r="H14" s="61">
        <f>TEXT(I14,"0")</f>
      </c>
      <c r="I14" s="64">
        <v>45732</v>
      </c>
      <c r="J14" s="29">
        <f>IF(J1="GERAL", SUMIF('MAR 2025'!A2:A901,'VENDA DIA A DIA'!I14,'MAR 2025'!D2:D960), SUMIFS('MAR 2025'!D2:D901, 'MAR 2025'!A2:A901, 'VENDA DIA A DIA'!I14, 'MAR 2025'!I2:I901, J1))</f>
      </c>
      <c r="K14" s="28">
        <f>IF(J1="GERAL", SUMIF('MAR 2025'!A2:A960,'VENDA DIA A DIA'!I14,'MAR 2025'!H2:H960), SUMIFS('MAR 2025'!H2:H900, 'MAR 2025'!A2:A900, 'VENDA DIA A DIA'!I14, 'MAR 2025'!I2:I900, J1))</f>
      </c>
      <c r="L14" s="28">
        <f>L4/25</f>
      </c>
      <c r="M14" s="1"/>
      <c r="N14" s="61">
        <f>TEXT(O14,"0")</f>
      </c>
      <c r="O14" s="64">
        <v>45767</v>
      </c>
      <c r="P14" s="29">
        <f>SUMIF('ABRIL 2025'!A:A,'VENDA DIA A DIA'!O14,'ABRIL 2025'!D:D)</f>
      </c>
      <c r="Q14" s="28">
        <f>IF(P10="GERAL", SUMIF('ABRIL 2025'!A:A,'VENDA DIA A DIA'!O14,'ABRIL 2025'!H:H), SUMIFS('ABRIL 2025'!H:H, 'ABRIL 2025'!A:A, 'VENDA DIA A DIA'!O14, 'ABRIL 2025'!K:K, P10))</f>
      </c>
      <c r="R14" s="28">
        <f>IF(P10="GERAL", SUMIF('ABRIL 2025'!A:A,'VENDA DIA A DIA'!O14,'ABRIL 2025'!J:J), SUMIFS('ABRIL 2025'!J:J, 'ABRIL 2025'!A:A, 'VENDA DIA A DIA'!O14, 'ABRIL 2025'!K:K, P10))</f>
      </c>
      <c r="S14" s="28">
        <f>S4/16</f>
      </c>
    </row>
    <row x14ac:dyDescent="0.25" r="15" customHeight="1" ht="18.75">
      <c r="A15" s="32"/>
      <c r="B15" s="61">
        <f>TEXT(C15,"0")</f>
      </c>
      <c r="C15" s="65" t="s">
        <v>39</v>
      </c>
      <c r="D15" s="66">
        <f>SUMIF('FEV 2025'!A8:A972,'VENDA DIA A DIA'!C15,'FEV 2025'!D8:D976)</f>
      </c>
      <c r="E15" s="28">
        <f>SUMIF('FEV 2025'!A8:A974,'VENDA DIA A DIA'!C15,'FEV 2025'!H8:H974)</f>
      </c>
      <c r="F15" s="28">
        <f>F4/15</f>
      </c>
      <c r="G15" s="32"/>
      <c r="H15" s="61">
        <f>TEXT(I15,"0")</f>
      </c>
      <c r="I15" s="64">
        <v>45733</v>
      </c>
      <c r="J15" s="29">
        <f>IF(J1="GERAL", SUMIF('MAR 2025'!A2:A901,'VENDA DIA A DIA'!I15,'MAR 2025'!D2:D960), SUMIFS('MAR 2025'!D2:D501, 'MAR 2025'!A2:A501, 'VENDA DIA A DIA'!I15, 'MAR 2025'!I2:I501, J1))</f>
      </c>
      <c r="K15" s="28">
        <f>IF(J1="GERAL", SUMIF('MAR 2025'!A2:A960,'VENDA DIA A DIA'!I15,'MAR 2025'!H2:H960), SUMIFS('MAR 2025'!H2:H901, 'MAR 2025'!A2:A901, 'VENDA DIA A DIA'!I15, 'MAR 2025'!I2:I901, J1))</f>
      </c>
      <c r="L15" s="28">
        <f>IF(J1="GUILHERME", L4/13,L4/25)</f>
      </c>
      <c r="M15" s="1"/>
      <c r="N15" s="61">
        <f>TEXT(O15,"0")</f>
      </c>
      <c r="O15" s="64">
        <v>45768</v>
      </c>
      <c r="P15" s="29">
        <f>SUMIF('ABRIL 2025'!A:A,'VENDA DIA A DIA'!O15,'ABRIL 2025'!D:D)</f>
      </c>
      <c r="Q15" s="28">
        <f>IF(P11="GERAL", SUMIF('ABRIL 2025'!A:A,'VENDA DIA A DIA'!O15,'ABRIL 2025'!H:H), SUMIFS('ABRIL 2025'!H:H, 'ABRIL 2025'!A:A, 'VENDA DIA A DIA'!O15, 'ABRIL 2025'!K:K, P11))</f>
      </c>
      <c r="R15" s="28">
        <f>IF(P11="GERAL", SUMIF('ABRIL 2025'!A:A,'VENDA DIA A DIA'!O15,'ABRIL 2025'!J:J), SUMIFS('ABRIL 2025'!J:J, 'ABRIL 2025'!A:A, 'VENDA DIA A DIA'!O15, 'ABRIL 2025'!K:K, P11))</f>
      </c>
      <c r="S15" s="28">
        <f>S4/16</f>
      </c>
    </row>
    <row x14ac:dyDescent="0.25" r="16" customHeight="1" ht="18.75">
      <c r="A16" s="32"/>
      <c r="B16" s="61">
        <f>TEXT(C16,"0")</f>
      </c>
      <c r="C16" s="65" t="s">
        <v>40</v>
      </c>
      <c r="D16" s="66">
        <f>SUMIF('FEV 2025'!A8:A973,'VENDA DIA A DIA'!C16,'FEV 2025'!D8:D977)</f>
      </c>
      <c r="E16" s="28">
        <f>SUMIF('FEV 2025'!A2:A975,'VENDA DIA A DIA'!C16,'FEV 2025'!H2:H975)</f>
      </c>
      <c r="F16" s="28">
        <f>F4/15</f>
      </c>
      <c r="G16" s="32"/>
      <c r="H16" s="61">
        <f>TEXT(I16,"0")</f>
      </c>
      <c r="I16" s="64">
        <v>45734</v>
      </c>
      <c r="J16" s="29">
        <f>IF(J1="GERAL", SUMIF('MAR 2025'!A2:A901,'VENDA DIA A DIA'!I16,'MAR 2025'!D2:D960), SUMIFS('MAR 2025'!D2:D501, 'MAR 2025'!A2:A501, 'VENDA DIA A DIA'!I16, 'MAR 2025'!I2:I501, J1))</f>
      </c>
      <c r="K16" s="28">
        <f>IF(J1="GERAL", SUMIF('MAR 2025'!A2:A960,'VENDA DIA A DIA'!I16,'MAR 2025'!H2:H960), SUMIFS('MAR 2025'!H2:H501, 'MAR 2025'!A2:A501, 'VENDA DIA A DIA'!I16, 'MAR 2025'!I2:I501, J1))</f>
      </c>
      <c r="L16" s="28">
        <f>IF(J1="GUILHERME", L4/13,L4/25)</f>
      </c>
      <c r="M16" s="1"/>
      <c r="N16" s="61">
        <f>TEXT(O16,"0")</f>
      </c>
      <c r="O16" s="64">
        <v>45769</v>
      </c>
      <c r="P16" s="29">
        <f>SUMIF('ABRIL 2025'!A:A,'VENDA DIA A DIA'!O16,'ABRIL 2025'!D:D)</f>
      </c>
      <c r="Q16" s="28">
        <f>IF(P1="GERAL", SUMIF('ABRIL 2025'!A:A,'VENDA DIA A DIA'!O16,'ABRIL 2025'!H:H), SUMIFS('ABRIL 2025'!H:H, 'ABRIL 2025'!A:A, 'VENDA DIA A DIA'!O16, 'ABRIL 2025'!K:K, P1))</f>
      </c>
      <c r="R16" s="28">
        <f>IF(P1="GERAL", SUMIF('ABRIL 2025'!A:A,'VENDA DIA A DIA'!O16,'ABRIL 2025'!J:J), SUMIFS('ABRIL 2025'!J:J, 'ABRIL 2025'!A:A, 'VENDA DIA A DIA'!O16, 'ABRIL 2025'!K:K, P1))</f>
      </c>
      <c r="S16" s="28">
        <f>S4/16</f>
      </c>
    </row>
    <row x14ac:dyDescent="0.25" r="17" customHeight="1" ht="18.75">
      <c r="A17" s="32"/>
      <c r="B17" s="61">
        <f>TEXT(C17,"0")</f>
      </c>
      <c r="C17" s="65" t="s">
        <v>41</v>
      </c>
      <c r="D17" s="66">
        <f>SUMIF('FEV 2025'!A8:A974,'VENDA DIA A DIA'!C17,'FEV 2025'!D8:D978)</f>
      </c>
      <c r="E17" s="28">
        <f>SUMIF('FEV 2025'!A8:A976,'VENDA DIA A DIA'!C17,'FEV 2025'!H8:H976)</f>
      </c>
      <c r="F17" s="28">
        <f>F4/15</f>
      </c>
      <c r="G17" s="32"/>
      <c r="H17" s="61">
        <f>TEXT(I17,"0")</f>
      </c>
      <c r="I17" s="64">
        <v>45735</v>
      </c>
      <c r="J17" s="29">
        <f>IF(J1="GERAL", SUMIF('MAR 2025'!A2:A901,'VENDA DIA A DIA'!I17,'MAR 2025'!D2:D960), SUMIFS('MAR 2025'!D2:D501, 'MAR 2025'!A2:A501, 'VENDA DIA A DIA'!I17, 'MAR 2025'!I2:I501, J1))</f>
      </c>
      <c r="K17" s="28">
        <f>IF(J1="GERAL", SUMIF('MAR 2025'!A2:A960,'VENDA DIA A DIA'!I17,'MAR 2025'!H2:H960), SUMIFS('MAR 2025'!H2:H501, 'MAR 2025'!A2:A501, 'VENDA DIA A DIA'!I17, 'MAR 2025'!I2:I501, J1))</f>
      </c>
      <c r="L17" s="28">
        <f>IF(J1="GUILHERME", L4/13,L4/25)</f>
      </c>
      <c r="M17" s="1"/>
      <c r="N17" s="61">
        <f>TEXT(O17,"0")</f>
      </c>
      <c r="O17" s="64">
        <v>45770</v>
      </c>
      <c r="P17" s="29">
        <f>SUMIF('ABRIL 2025'!A:A,'VENDA DIA A DIA'!O17,'ABRIL 2025'!D:D)</f>
      </c>
      <c r="Q17" s="28">
        <f>IF(P13="GERAL", SUMIF('ABRIL 2025'!A:A,'VENDA DIA A DIA'!O17,'ABRIL 2025'!H:H), SUMIFS('ABRIL 2025'!H:H, 'ABRIL 2025'!A:A, 'VENDA DIA A DIA'!O17, 'ABRIL 2025'!K:K, P13))</f>
      </c>
      <c r="R17" s="28">
        <f>IF(P13="GERAL", SUMIF('ABRIL 2025'!A:A,'VENDA DIA A DIA'!O17,'ABRIL 2025'!J:J), SUMIFS('ABRIL 2025'!J:J, 'ABRIL 2025'!A:A, 'VENDA DIA A DIA'!O17, 'ABRIL 2025'!K:K, P13))</f>
      </c>
      <c r="S17" s="28">
        <f>S4/16</f>
      </c>
    </row>
    <row x14ac:dyDescent="0.25" r="18" customHeight="1" ht="18.75">
      <c r="A18" s="32"/>
      <c r="B18" s="61">
        <f>TEXT(C18,"0")</f>
      </c>
      <c r="C18" s="65" t="s">
        <v>42</v>
      </c>
      <c r="D18" s="66">
        <f>SUMIF('FEV 2025'!A2:A866,'VENDA DIA A DIA'!C18,'FEV 2025'!D2:D866)</f>
      </c>
      <c r="E18" s="28">
        <f>SUMIF('FEV 2025'!A2:A866,'VENDA DIA A DIA'!C18,'FEV 2025'!H2:H866)</f>
      </c>
      <c r="F18" s="28">
        <f>F4/15</f>
      </c>
      <c r="G18" s="32"/>
      <c r="H18" s="61">
        <f>TEXT(I18,"0")</f>
      </c>
      <c r="I18" s="64">
        <v>45736</v>
      </c>
      <c r="J18" s="29">
        <f>IF(J1="GERAL", SUMIF('MAR 2025'!A2:A901,'VENDA DIA A DIA'!I18,'MAR 2025'!D2:D960), SUMIFS('MAR 2025'!D2:D700, 'MAR 2025'!A2:A700, 'VENDA DIA A DIA'!I18, 'MAR 2025'!I2:I700, J1))</f>
      </c>
      <c r="K18" s="28">
        <f>IF(J1="GERAL", SUMIF('MAR 2025'!A2:A960,'VENDA DIA A DIA'!I18,'MAR 2025'!H2:H960), SUMIFS('MAR 2025'!H2:H700, 'MAR 2025'!A2:A700, 'VENDA DIA A DIA'!I18, 'MAR 2025'!I2:I700, J1))</f>
      </c>
      <c r="L18" s="28">
        <f>IF(J1="GUILHERME", L4/13,L4/25)</f>
      </c>
      <c r="M18" s="1"/>
      <c r="N18" s="61">
        <f>TEXT(O18,"0")</f>
      </c>
      <c r="O18" s="64">
        <v>45771</v>
      </c>
      <c r="P18" s="29">
        <f>SUMIF('ABRIL 2025'!A:A,'VENDA DIA A DIA'!O18,'ABRIL 2025'!D:D)</f>
      </c>
      <c r="Q18" s="28">
        <f>IF(P1="GERAL", SUMIF('ABRIL 2025'!A:A,'VENDA DIA A DIA'!O18,'ABRIL 2025'!H:H), SUMIFS('ABRIL 2025'!H:H, 'ABRIL 2025'!A:A, 'VENDA DIA A DIA'!O18, 'ABRIL 2025'!K:K, P1))</f>
      </c>
      <c r="R18" s="28">
        <f>IF(P1="GERAL", SUMIF('ABRIL 2025'!A:A,'VENDA DIA A DIA'!O18,'ABRIL 2025'!J:J), SUMIFS('ABRIL 2025'!J:J, 'ABRIL 2025'!A:A, 'VENDA DIA A DIA'!O18, 'ABRIL 2025'!K:K, P1))</f>
      </c>
      <c r="S18" s="28">
        <f>S4/16</f>
      </c>
    </row>
    <row x14ac:dyDescent="0.25" r="19" customHeight="1" ht="18.75">
      <c r="A19" s="32"/>
      <c r="B19" s="61">
        <f>TEXT(C19,"0")</f>
      </c>
      <c r="C19" s="65" t="s">
        <v>43</v>
      </c>
      <c r="D19" s="66">
        <f>SUMIF('FEV 2025'!A8:A976,'VENDA DIA A DIA'!C19,'FEV 2025'!D8:D980)</f>
      </c>
      <c r="E19" s="28">
        <f>SUMIF('FEV 2025'!A5:A965,'VENDA DIA A DIA'!C19,'FEV 2025'!H5:H965)</f>
      </c>
      <c r="F19" s="28">
        <f>F4/15</f>
      </c>
      <c r="G19" s="32"/>
      <c r="H19" s="61">
        <f>TEXT(I19,"0")</f>
      </c>
      <c r="I19" s="64">
        <v>45737</v>
      </c>
      <c r="J19" s="29">
        <f>IF(J1="GERAL", SUMIF('MAR 2025'!A2:A901,'VENDA DIA A DIA'!I19,'MAR 2025'!D2:D960), SUMIFS('MAR 2025'!D2:D501, 'MAR 2025'!A2:A501, 'VENDA DIA A DIA'!I19, 'MAR 2025'!I2:I501, J1))</f>
      </c>
      <c r="K19" s="28">
        <f>IF(J1="GERAL", SUMIF('MAR 2025'!A2:A960,'VENDA DIA A DIA'!I19,'MAR 2025'!H2:H960), SUMIFS('MAR 2025'!H2:H501, 'MAR 2025'!A2:A501, 'VENDA DIA A DIA'!I19, 'MAR 2025'!I2:I501, J1))</f>
      </c>
      <c r="L19" s="28">
        <f>IF(J1="GUILHERME", L4/13,L4/25)</f>
      </c>
      <c r="M19" s="1"/>
      <c r="N19" s="61">
        <f>TEXT(O19,"0")</f>
      </c>
      <c r="O19" s="64">
        <v>45772</v>
      </c>
      <c r="P19" s="29">
        <f>SUMIF('ABRIL 2025'!A:A,'VENDA DIA A DIA'!O19,'ABRIL 2025'!D:D)</f>
      </c>
      <c r="Q19" s="28">
        <f>IF(P1="GERAL", SUMIF('ABRIL 2025'!A:A,'VENDA DIA A DIA'!O19,'ABRIL 2025'!H:H), SUMIFS('ABRIL 2025'!H:H, 'ABRIL 2025'!A:A, 'VENDA DIA A DIA'!O19, 'ABRIL 2025'!K:K, P1))</f>
      </c>
      <c r="R19" s="28">
        <f>IF(P1="GERAL", SUMIF('ABRIL 2025'!A:A,'VENDA DIA A DIA'!O19,'ABRIL 2025'!J:J), SUMIFS('ABRIL 2025'!J:J, 'ABRIL 2025'!A:A, 'VENDA DIA A DIA'!O19, 'ABRIL 2025'!K:K, P1))</f>
      </c>
      <c r="S19" s="28">
        <f>S4/16</f>
      </c>
    </row>
    <row x14ac:dyDescent="0.25" r="20" customHeight="1" ht="18.75">
      <c r="A20" s="32"/>
      <c r="B20" s="61">
        <f>TEXT(C20,"0")</f>
      </c>
      <c r="C20" s="65" t="s">
        <v>44</v>
      </c>
      <c r="D20" s="66">
        <f>SUMIF('FEV 2025'!A2:A866,'VENDA DIA A DIA'!C20,'FEV 2025'!D2:D866)</f>
      </c>
      <c r="E20" s="28">
        <f>SUMIF('FEV 2025'!A6:A966,'VENDA DIA A DIA'!C20,'FEV 2025'!H6:H966)</f>
      </c>
      <c r="F20" s="28">
        <f>F4/15</f>
      </c>
      <c r="G20" s="32"/>
      <c r="H20" s="61">
        <f>TEXT(I20,"0")</f>
      </c>
      <c r="I20" s="64">
        <v>45738</v>
      </c>
      <c r="J20" s="29">
        <f>IF(J1="GERAL", SUMIF('MAR 2025'!A2:A901,'VENDA DIA A DIA'!I20,'MAR 2025'!D2:D960), SUMIFS('MAR 2025'!D2:D501, 'MAR 2025'!A2:A501, 'VENDA DIA A DIA'!I20, 'MAR 2025'!I2:I501, J1))</f>
      </c>
      <c r="K20" s="28">
        <f>IF(J1="GERAL", SUMIF('MAR 2025'!A2:A960,'VENDA DIA A DIA'!I20,'MAR 2025'!H2:H960), SUMIFS('MAR 2025'!H2:H501, 'MAR 2025'!A2:A501, 'VENDA DIA A DIA'!I20, 'MAR 2025'!I2:I501, J1))</f>
      </c>
      <c r="L20" s="28">
        <f>IF(J1="GUILHERME", L4/13,L4/25)</f>
      </c>
      <c r="M20" s="1"/>
      <c r="N20" s="61">
        <f>TEXT(O20,"0")</f>
      </c>
      <c r="O20" s="64">
        <v>45773</v>
      </c>
      <c r="P20" s="29">
        <f>SUMIF('ABRIL 2025'!A:A,'VENDA DIA A DIA'!O20,'ABRIL 2025'!D:D)</f>
      </c>
      <c r="Q20" s="28">
        <f>IF(P16="GERAL", SUMIF('ABRIL 2025'!A:A,'VENDA DIA A DIA'!O20,'ABRIL 2025'!H:H), SUMIFS('ABRIL 2025'!H:H, 'ABRIL 2025'!A:A, 'VENDA DIA A DIA'!O20, 'ABRIL 2025'!K:K, P16))</f>
      </c>
      <c r="R20" s="28">
        <f>IF(P16="GERAL", SUMIF('ABRIL 2025'!A:A,'VENDA DIA A DIA'!O20,'ABRIL 2025'!J:J), SUMIFS('ABRIL 2025'!J:J, 'ABRIL 2025'!A:A, 'VENDA DIA A DIA'!O20, 'ABRIL 2025'!K:K, P16))</f>
      </c>
      <c r="S20" s="28">
        <f>S4/16</f>
      </c>
    </row>
    <row x14ac:dyDescent="0.25" r="21" customHeight="1" ht="18.75">
      <c r="A21" s="32"/>
      <c r="B21" s="61">
        <f>TEXT(C21,"0")</f>
      </c>
      <c r="C21" s="65" t="s">
        <v>45</v>
      </c>
      <c r="D21" s="66">
        <f>SUMIF('FEV 2025'!A2:A866,'VENDA DIA A DIA'!C21,'FEV 2025'!D2:D866)</f>
      </c>
      <c r="E21" s="28">
        <f>SUMIF('FEV 2025'!A7:A967,'VENDA DIA A DIA'!C21,'FEV 2025'!H7:H967)</f>
      </c>
      <c r="F21" s="28">
        <f>F4/15</f>
      </c>
      <c r="G21" s="32"/>
      <c r="H21" s="61">
        <f>TEXT(I21,"0")</f>
      </c>
      <c r="I21" s="64">
        <v>45739</v>
      </c>
      <c r="J21" s="29">
        <f>IF(J1="GERAL", SUMIF('MAR 2025'!A2:A901,'VENDA DIA A DIA'!I21,'MAR 2025'!D2:D960), SUMIFS('MAR 2025'!D2:D501, 'MAR 2025'!A2:A501, 'VENDA DIA A DIA'!I21, 'MAR 2025'!I2:I501, J1))</f>
      </c>
      <c r="K21" s="28">
        <f>IF(J1="GERAL", SUMIF('MAR 2025'!A2:A960,'VENDA DIA A DIA'!I21,'MAR 2025'!H2:H960), SUMIFS('MAR 2025'!H2:H501, 'MAR 2025'!A2:A501, 'VENDA DIA A DIA'!I21, 'MAR 2025'!I2:I501, J1))</f>
      </c>
      <c r="L21" s="28">
        <f>IF(J1="GUILHERME", L4/13,L4/25)</f>
      </c>
      <c r="M21" s="1"/>
      <c r="N21" s="61">
        <f>TEXT(O21,"0")</f>
      </c>
      <c r="O21" s="64">
        <v>45774</v>
      </c>
      <c r="P21" s="29">
        <f>SUMIF('ABRIL 2025'!A:A,'VENDA DIA A DIA'!O21,'ABRIL 2025'!D:D)</f>
      </c>
      <c r="Q21" s="28">
        <f>IF(P17="GERAL", SUMIF('ABRIL 2025'!A:A,'VENDA DIA A DIA'!O21,'ABRIL 2025'!H:H), SUMIFS('ABRIL 2025'!H:H, 'ABRIL 2025'!A:A, 'VENDA DIA A DIA'!O21, 'ABRIL 2025'!K:K, P17))</f>
      </c>
      <c r="R21" s="28">
        <f>IF(P17="GERAL", SUMIF('ABRIL 2025'!A:A,'VENDA DIA A DIA'!O21,'ABRIL 2025'!J:J), SUMIFS('ABRIL 2025'!J:J, 'ABRIL 2025'!A:A, 'VENDA DIA A DIA'!O21, 'ABRIL 2025'!K:K, P17))</f>
      </c>
      <c r="S21" s="28">
        <f>S4/16</f>
      </c>
    </row>
    <row x14ac:dyDescent="0.25" r="22" customHeight="1" ht="18.75">
      <c r="A22" s="32"/>
      <c r="B22" s="61">
        <f>TEXT(C22,"0")</f>
      </c>
      <c r="C22" s="65" t="s">
        <v>46</v>
      </c>
      <c r="D22" s="66">
        <f>SUMIF('FEV 2025'!A3:A867,'VENDA DIA A DIA'!C22,'FEV 2025'!D3:D867)</f>
      </c>
      <c r="E22" s="28">
        <f>SUMIF('FEV 2025'!A8:A968,'VENDA DIA A DIA'!C22,'FEV 2025'!H8:H968)</f>
      </c>
      <c r="F22" s="28">
        <f>F4/15</f>
      </c>
      <c r="G22" s="32"/>
      <c r="H22" s="61">
        <f>TEXT(I22,"0")</f>
      </c>
      <c r="I22" s="64">
        <v>45740</v>
      </c>
      <c r="J22" s="29">
        <f>IF(J1="GERAL", SUMIF('MAR 2025'!A2:A901,'VENDA DIA A DIA'!I22,'MAR 2025'!D2:D960), SUMIFS('MAR 2025'!D2:D501, 'MAR 2025'!A2:A501, 'VENDA DIA A DIA'!I22, 'MAR 2025'!I2:I501, J1))</f>
      </c>
      <c r="K22" s="28">
        <f>IF(J1="GERAL", SUMIF('MAR 2025'!A2:A960,'VENDA DIA A DIA'!I22,'MAR 2025'!H2:H960), SUMIFS('MAR 2025'!H2:H501, 'MAR 2025'!A2:A501, 'VENDA DIA A DIA'!I22, 'MAR 2025'!I2:I501, J1))</f>
      </c>
      <c r="L22" s="28">
        <f>IF(J1="GUILHERME", L4/13,L4/25)</f>
      </c>
      <c r="M22" s="1"/>
      <c r="N22" s="61">
        <f>TEXT(O22,"0")</f>
      </c>
      <c r="O22" s="64">
        <v>45775</v>
      </c>
      <c r="P22" s="29">
        <f>SUMIF('ABRIL 2025'!A:A,'VENDA DIA A DIA'!O22,'ABRIL 2025'!D:D)</f>
      </c>
      <c r="Q22" s="28">
        <f>IF(P18="GERAL", SUMIF('ABRIL 2025'!A:A,'VENDA DIA A DIA'!O22,'ABRIL 2025'!H:H), SUMIFS('ABRIL 2025'!H:H, 'ABRIL 2025'!A:A, 'VENDA DIA A DIA'!O22, 'ABRIL 2025'!K:K, P18))</f>
      </c>
      <c r="R22" s="28">
        <f>IF(P18="GERAL", SUMIF('ABRIL 2025'!A:A,'VENDA DIA A DIA'!O22,'ABRIL 2025'!J:J), SUMIFS('ABRIL 2025'!J:J, 'ABRIL 2025'!A:A, 'VENDA DIA A DIA'!O22, 'ABRIL 2025'!K:K, P18))</f>
      </c>
      <c r="S22" s="28">
        <f>S4/16</f>
      </c>
    </row>
    <row x14ac:dyDescent="0.25" r="23" customHeight="1" ht="18.75">
      <c r="A23" s="32"/>
      <c r="B23" s="61">
        <f>TEXT(C23,"0")</f>
      </c>
      <c r="C23" s="65">
        <v>45689</v>
      </c>
      <c r="D23" s="66">
        <f>SUMIF('FEV 2025'!A3:A867,'VENDA DIA A DIA'!C23,'FEV 2025'!D3:D867)</f>
      </c>
      <c r="E23" s="28">
        <f>SUMIF('FEV 2025'!A2:A962,'VENDA DIA A DIA'!C23,'FEV 2025'!H2:H962)</f>
      </c>
      <c r="F23" s="28">
        <f>F4/15</f>
      </c>
      <c r="G23" s="32"/>
      <c r="H23" s="61">
        <f>TEXT(I23,"0")</f>
      </c>
      <c r="I23" s="64">
        <v>45741</v>
      </c>
      <c r="J23" s="29">
        <f>IF(J1="GERAL", SUMIF('MAR 2025'!A2:A901,'VENDA DIA A DIA'!I23,'MAR 2025'!D2:D960), SUMIFS('MAR 2025'!D2:D501, 'MAR 2025'!A2:A501, 'VENDA DIA A DIA'!I23, 'MAR 2025'!I2:I501, J1))</f>
      </c>
      <c r="K23" s="28">
        <f>IF(J1="GERAL", SUMIF('MAR 2025'!A2:A960,'VENDA DIA A DIA'!I23,'MAR 2025'!H2:H960), SUMIFS('MAR 2025'!H2:H501, 'MAR 2025'!A2:A501, 'VENDA DIA A DIA'!I23, 'MAR 2025'!I2:I501, J1))</f>
      </c>
      <c r="L23" s="28">
        <f>IF(J1="GUILHERME", L4/13,L4/25)</f>
      </c>
      <c r="M23" s="1"/>
      <c r="N23" s="61">
        <f>TEXT(O23,"0")</f>
      </c>
      <c r="O23" s="64">
        <v>45776</v>
      </c>
      <c r="P23" s="29">
        <f>SUMIF('ABRIL 2025'!A:A,'VENDA DIA A DIA'!O23,'ABRIL 2025'!D:D)</f>
      </c>
      <c r="Q23" s="28">
        <f>IF(P19="GERAL", SUMIF('ABRIL 2025'!A:A,'VENDA DIA A DIA'!O23,'ABRIL 2025'!H:H), SUMIFS('ABRIL 2025'!H:H, 'ABRIL 2025'!A:A, 'VENDA DIA A DIA'!O23, 'ABRIL 2025'!K:K, P19))</f>
      </c>
      <c r="R23" s="28">
        <f>IF(P19="GERAL", SUMIF('ABRIL 2025'!A:A,'VENDA DIA A DIA'!O23,'ABRIL 2025'!J:J), SUMIFS('ABRIL 2025'!J:J, 'ABRIL 2025'!A:A, 'VENDA DIA A DIA'!O23, 'ABRIL 2025'!K:K, P19))</f>
      </c>
      <c r="S23" s="28">
        <f>S4/16</f>
      </c>
    </row>
    <row x14ac:dyDescent="0.25" r="24" customHeight="1" ht="18.75">
      <c r="A24" s="32"/>
      <c r="B24" s="61">
        <f>TEXT(C24,"0")</f>
      </c>
      <c r="C24" s="65" t="s">
        <v>47</v>
      </c>
      <c r="D24" s="66">
        <f>SUMIF('FEV 2025'!A3:A867,'VENDA DIA A DIA'!C24,'FEV 2025'!D3:D867)</f>
      </c>
      <c r="E24" s="28">
        <f>SUMIF('FEV 2025'!A2:A962,'VENDA DIA A DIA'!C24,'FEV 2025'!H2:H962)</f>
      </c>
      <c r="F24" s="28">
        <f>F4/15</f>
      </c>
      <c r="G24" s="32"/>
      <c r="H24" s="61">
        <f>TEXT(I24,"0")</f>
      </c>
      <c r="I24" s="64">
        <v>45742</v>
      </c>
      <c r="J24" s="29">
        <f>IF(J1="GERAL", SUMIF('MAR 2025'!A2:A901,'VENDA DIA A DIA'!I24,'MAR 2025'!D2:D960), SUMIFS('MAR 2025'!D2:D501, 'MAR 2025'!A2:A501, 'VENDA DIA A DIA'!I24, 'MAR 2025'!I2:I501, J1))</f>
      </c>
      <c r="K24" s="28">
        <f>IF(J1="GERAL", SUMIF('MAR 2025'!A2:A960,'VENDA DIA A DIA'!I24,'MAR 2025'!H2:H960), SUMIFS('MAR 2025'!H2:H501, 'MAR 2025'!A2:A501, 'VENDA DIA A DIA'!I24, 'MAR 2025'!I2:I501, J1))</f>
      </c>
      <c r="L24" s="28">
        <f>IF(J1="GUILHERME", L4/13,L4/25)</f>
      </c>
      <c r="M24" s="1"/>
      <c r="N24" s="61">
        <f>TEXT(O24,"0")</f>
      </c>
      <c r="O24" s="64">
        <v>45777</v>
      </c>
      <c r="P24" s="29">
        <f>SUMIF('ABRIL 2025'!A:A,'VENDA DIA A DIA'!O24,'ABRIL 2025'!D:D)</f>
      </c>
      <c r="Q24" s="28">
        <f>IF(P20="GERAL", SUMIF('ABRIL 2025'!A:A,'VENDA DIA A DIA'!O24,'ABRIL 2025'!H:H), SUMIFS('ABRIL 2025'!H:H, 'ABRIL 2025'!A:A, 'VENDA DIA A DIA'!O24, 'ABRIL 2025'!K:K, P20))</f>
      </c>
      <c r="R24" s="28">
        <f>IF(P20="GERAL", SUMIF('ABRIL 2025'!A:A,'VENDA DIA A DIA'!O24,'ABRIL 2025'!J:J), SUMIFS('ABRIL 2025'!J:J, 'ABRIL 2025'!A:A, 'VENDA DIA A DIA'!O24, 'ABRIL 2025'!K:K, P20))</f>
      </c>
      <c r="S24" s="28">
        <f>S4/16</f>
      </c>
    </row>
    <row x14ac:dyDescent="0.25" r="25" customHeight="1" ht="18.75">
      <c r="A25" s="32"/>
      <c r="B25" s="61">
        <f>TEXT(C25,"0")</f>
      </c>
      <c r="C25" s="65">
        <v>45721</v>
      </c>
      <c r="D25" s="66">
        <f>SUMIF('FEV 2025'!A3:A867,'VENDA DIA A DIA'!C25,'FEV 2025'!D3:D867)</f>
      </c>
      <c r="E25" s="28">
        <f>SUMIF('FEV 2025'!A2:A962,'VENDA DIA A DIA'!C25,'FEV 2025'!H2:H962)</f>
      </c>
      <c r="F25" s="28">
        <f>F4/15</f>
      </c>
      <c r="G25" s="32"/>
      <c r="H25" s="61">
        <f>TEXT(I25,"0")</f>
      </c>
      <c r="I25" s="64">
        <v>45743</v>
      </c>
      <c r="J25" s="29">
        <f>IF(J1="GERAL", SUMIF('MAR 2025'!A2:A901,'VENDA DIA A DIA'!I25,'MAR 2025'!D2:D960), SUMIFS('MAR 2025'!D2:D501, 'MAR 2025'!A2:A501, 'VENDA DIA A DIA'!I25, 'MAR 2025'!I2:I501, J1))</f>
      </c>
      <c r="K25" s="28">
        <f>IF(J1="GERAL", SUMIF('MAR 2025'!A2:A960,'VENDA DIA A DIA'!I25,'MAR 2025'!H2:H960), SUMIFS('MAR 2025'!H2:H501, 'MAR 2025'!A2:A501, 'VENDA DIA A DIA'!I25, 'MAR 2025'!I2:I501, J1))</f>
      </c>
      <c r="L25" s="28">
        <f>IF(J1="GUILHERME", L4/13,L4/25)</f>
      </c>
      <c r="M25" s="1"/>
      <c r="N25" s="61">
        <f>TEXT(O25,"0")</f>
      </c>
      <c r="O25" s="64">
        <v>45778</v>
      </c>
      <c r="P25" s="29">
        <f>SUMIF('ABRIL 2025'!A:A,'VENDA DIA A DIA'!O25,'ABRIL 2025'!D:D)</f>
      </c>
      <c r="Q25" s="28">
        <f>IF(P21="GERAL", SUMIF('ABRIL 2025'!A:A,'VENDA DIA A DIA'!O25,'ABRIL 2025'!H:H), SUMIFS('ABRIL 2025'!H:H, 'ABRIL 2025'!A:A, 'VENDA DIA A DIA'!O25, 'ABRIL 2025'!K:K, P21))</f>
      </c>
      <c r="R25" s="28">
        <f>IF(P21="GERAL", SUMIF('ABRIL 2025'!A:A,'VENDA DIA A DIA'!O25,'ABRIL 2025'!J:J), SUMIFS('ABRIL 2025'!J:J, 'ABRIL 2025'!A:A, 'VENDA DIA A DIA'!O25, 'ABRIL 2025'!K:K, P21))</f>
      </c>
      <c r="S25" s="28">
        <f>S4/16</f>
      </c>
    </row>
    <row x14ac:dyDescent="0.25" r="26" customHeight="1" ht="18.75">
      <c r="A26" s="32"/>
      <c r="B26" s="61">
        <f>TEXT(C26,"0")</f>
      </c>
      <c r="C26" s="65">
        <v>45665</v>
      </c>
      <c r="D26" s="66">
        <f>SUMIF('FEV 2025'!A3:A867,'VENDA DIA A DIA'!C26,'FEV 2025'!D3:D867)</f>
      </c>
      <c r="E26" s="28">
        <f>SUMIF('FEV 2025'!A2:A962,'VENDA DIA A DIA'!C26,'FEV 2025'!H2:H962)</f>
      </c>
      <c r="F26" s="28">
        <f>F4/15</f>
      </c>
      <c r="G26" s="32"/>
      <c r="H26" s="61">
        <f>TEXT(I26,"0")</f>
      </c>
      <c r="I26" s="64">
        <v>45744</v>
      </c>
      <c r="J26" s="29">
        <f>IF(J1="GERAL", SUMIF('MAR 2025'!A2:A901,'VENDA DIA A DIA'!I26,'MAR 2025'!D2:D960), SUMIFS('MAR 2025'!D2:D501, 'MAR 2025'!A2:A501, 'VENDA DIA A DIA'!I26, 'MAR 2025'!I2:I501, J1))</f>
      </c>
      <c r="K26" s="28">
        <f>IF(J1="GERAL", SUMIF('MAR 2025'!A2:A960,'VENDA DIA A DIA'!I26,'MAR 2025'!H2:H960), SUMIFS('MAR 2025'!H2:H501, 'MAR 2025'!A2:A501, 'VENDA DIA A DIA'!I26, 'MAR 2025'!I2:I501, J1))</f>
      </c>
      <c r="L26" s="28">
        <f>IF(J1="GUILHERME", L4/13,L4/25)</f>
      </c>
      <c r="M26" s="1"/>
      <c r="N26" s="61">
        <f>TEXT(O26,"0")</f>
      </c>
      <c r="O26" s="64">
        <v>45779</v>
      </c>
      <c r="P26" s="29">
        <f>SUMIF('ABRIL 2025'!A:A,'VENDA DIA A DIA'!O26,'ABRIL 2025'!D:D)</f>
      </c>
      <c r="Q26" s="28">
        <f>IF(P22="GERAL", SUMIF('ABRIL 2025'!A:A,'VENDA DIA A DIA'!O26,'ABRIL 2025'!H:H), SUMIFS('ABRIL 2025'!H:H, 'ABRIL 2025'!A:A, 'VENDA DIA A DIA'!O26, 'ABRIL 2025'!K:K, P22))</f>
      </c>
      <c r="R26" s="28">
        <f>IF(P22="GERAL", SUMIF('ABRIL 2025'!A:A,'VENDA DIA A DIA'!O26,'ABRIL 2025'!J:J), SUMIFS('ABRIL 2025'!J:J, 'ABRIL 2025'!A:A, 'VENDA DIA A DIA'!O26, 'ABRIL 2025'!K:K, P22))</f>
      </c>
      <c r="S26" s="28">
        <f>S4/16</f>
      </c>
    </row>
    <row x14ac:dyDescent="0.25" r="27" customHeight="1" ht="18.75">
      <c r="A27" s="32"/>
      <c r="B27" s="32"/>
      <c r="C27" s="32"/>
      <c r="D27" s="32"/>
      <c r="E27" s="32"/>
      <c r="F27" s="32"/>
      <c r="G27" s="32"/>
      <c r="H27" s="61">
        <f>TEXT(I27,"0")</f>
      </c>
      <c r="I27" s="64">
        <v>45745</v>
      </c>
      <c r="J27" s="29">
        <f>IF(J1="GERAL", SUMIF('MAR 2025'!A2:A901,'VENDA DIA A DIA'!I27,'MAR 2025'!D2:D960), SUMIFS('MAR 2025'!D2:D501, 'MAR 2025'!A2:A501, 'VENDA DIA A DIA'!I27, 'MAR 2025'!I2:I501, J1))</f>
      </c>
      <c r="K27" s="28">
        <f>IF(J1="GERAL", SUMIF('MAR 2025'!A2:A960,'VENDA DIA A DIA'!I27,'MAR 2025'!H2:H960), SUMIFS('MAR 2025'!H2:H501, 'MAR 2025'!A2:A501, 'VENDA DIA A DIA'!I27, 'MAR 2025'!I2:I501, J1))</f>
      </c>
      <c r="L27" s="28">
        <f>IF(J1="GUILHERME", L4/13,L4/25)</f>
      </c>
      <c r="M27" s="1"/>
      <c r="N27" s="61">
        <f>TEXT(O27,"0")</f>
      </c>
      <c r="O27" s="64">
        <v>45780</v>
      </c>
      <c r="P27" s="29">
        <f>SUMIF('ABRIL 2025'!A:A,'VENDA DIA A DIA'!O27,'ABRIL 2025'!D:D)</f>
      </c>
      <c r="Q27" s="28">
        <f>IF(P23="GERAL", SUMIF('ABRIL 2025'!A:A,'VENDA DIA A DIA'!O27,'ABRIL 2025'!H:H), SUMIFS('ABRIL 2025'!H:H, 'ABRIL 2025'!A:A, 'VENDA DIA A DIA'!O27, 'ABRIL 2025'!K:K, P23))</f>
      </c>
      <c r="R27" s="28">
        <f>IF(P23="GERAL", SUMIF('ABRIL 2025'!A:A,'VENDA DIA A DIA'!O27,'ABRIL 2025'!J:J), SUMIFS('ABRIL 2025'!J:J, 'ABRIL 2025'!A:A, 'VENDA DIA A DIA'!O27, 'ABRIL 2025'!K:K, P23))</f>
      </c>
      <c r="S27" s="28">
        <f>S4/16</f>
      </c>
    </row>
    <row x14ac:dyDescent="0.25" r="28" customHeight="1" ht="18.75">
      <c r="A28" s="32"/>
      <c r="B28" s="32"/>
      <c r="C28" s="32"/>
      <c r="D28" s="32"/>
      <c r="E28" s="32"/>
      <c r="F28" s="32"/>
      <c r="G28" s="32"/>
      <c r="H28" s="61">
        <f>TEXT(I28,"0")</f>
      </c>
      <c r="I28" s="64">
        <v>45746</v>
      </c>
      <c r="J28" s="29">
        <f>SUMIF('MAR 2025'!A16:A915,'VENDA DIA A DIA'!C28,'MAR 2025'!D16:D915)</f>
      </c>
      <c r="K28" s="28">
        <f>IF(J6="GERAL", SUMIF('MAR 2025'!A7:A965,'VENDA DIA A DIA'!I28,'MAR 2025'!H7:H965), SUMIFS('MAR 2025'!H7:H506, 'MAR 2025'!A7:A506, 'VENDA DIA A DIA'!I20, 'MAR 2025'!I7:I506, J6))</f>
      </c>
      <c r="L28" s="28">
        <f>IF(J1="GUILHERME", L4/13,L4/25)</f>
      </c>
      <c r="M28" s="1"/>
      <c r="N28" s="61">
        <f>TEXT(O28,"0")</f>
      </c>
      <c r="O28" s="64">
        <v>45781</v>
      </c>
      <c r="P28" s="29">
        <f>SUMIF('ABRIL 2025'!A:A,'VENDA DIA A DIA'!O28,'ABRIL 2025'!D:D)</f>
      </c>
      <c r="Q28" s="28">
        <f>IF(P24="GERAL", SUMIF('ABRIL 2025'!A:A,'VENDA DIA A DIA'!O28,'ABRIL 2025'!H:H), SUMIFS('ABRIL 2025'!H:H, 'ABRIL 2025'!A:A, 'VENDA DIA A DIA'!O28, 'ABRIL 2025'!K:K, P24))</f>
      </c>
      <c r="R28" s="28">
        <f>IF(P24="GERAL", SUMIF('ABRIL 2025'!A:A,'VENDA DIA A DIA'!O28,'ABRIL 2025'!J:J), SUMIFS('ABRIL 2025'!J:J, 'ABRIL 2025'!A:A, 'VENDA DIA A DIA'!O28, 'ABRIL 2025'!K:K, P24))</f>
      </c>
      <c r="S28" s="28">
        <f>S4/16</f>
      </c>
    </row>
    <row x14ac:dyDescent="0.25" r="29" customHeight="1" ht="18.75">
      <c r="A29" s="32"/>
      <c r="B29" s="32"/>
      <c r="C29" s="32"/>
      <c r="D29" s="32"/>
      <c r="E29" s="32"/>
      <c r="F29" s="32"/>
      <c r="G29" s="32"/>
      <c r="H29" s="61">
        <f>TEXT(I29,"0")</f>
      </c>
      <c r="I29" s="64">
        <v>45747</v>
      </c>
      <c r="J29" s="29">
        <f>SUMIF('MAR 2025'!A17:A916,'VENDA DIA A DIA'!C29,'MAR 2025'!D17:D916)</f>
      </c>
      <c r="K29" s="28">
        <f>IF(J7="GERAL", SUMIF('MAR 2025'!A8:A966,'VENDA DIA A DIA'!I29,'MAR 2025'!H8:H966), SUMIFS('MAR 2025'!H8:H507, 'MAR 2025'!A8:A507, 'VENDA DIA A DIA'!I21, 'MAR 2025'!I8:I507, J7))</f>
      </c>
      <c r="L29" s="28">
        <f>IF(J1="GUILHERME", L4/13,L4/25)</f>
      </c>
      <c r="M29" s="1"/>
      <c r="N29" s="61">
        <f>TEXT(O29,"0")</f>
      </c>
      <c r="O29" s="64">
        <v>45782</v>
      </c>
      <c r="P29" s="29">
        <f>SUMIF('ABRIL 2025'!A:A,'VENDA DIA A DIA'!O29,'ABRIL 2025'!D:D)</f>
      </c>
      <c r="Q29" s="28">
        <f>IF(P25="GERAL", SUMIF('ABRIL 2025'!A:A,'VENDA DIA A DIA'!O29,'ABRIL 2025'!H:H), SUMIFS('ABRIL 2025'!H:H, 'ABRIL 2025'!A:A, 'VENDA DIA A DIA'!O29, 'ABRIL 2025'!K:K, P25))</f>
      </c>
      <c r="R29" s="28">
        <f>IF(P25="GERAL", SUMIF('ABRIL 2025'!A:A,'VENDA DIA A DIA'!O29,'ABRIL 2025'!J:J), SUMIFS('ABRIL 2025'!J:J, 'ABRIL 2025'!A:A, 'VENDA DIA A DIA'!O29, 'ABRIL 2025'!K:K, P25))</f>
      </c>
      <c r="S29" s="28">
        <f>S4/16</f>
      </c>
    </row>
    <row x14ac:dyDescent="0.25" r="30" customHeight="1" ht="18.75">
      <c r="A30" s="32"/>
      <c r="B30" s="32"/>
      <c r="C30" s="32"/>
      <c r="D30" s="32"/>
      <c r="E30" s="32"/>
      <c r="F30" s="32"/>
      <c r="G30" s="1"/>
      <c r="H30" s="61">
        <f>TEXT(I30,"0")</f>
      </c>
      <c r="I30" s="64">
        <v>45748</v>
      </c>
      <c r="J30" s="29">
        <f>IF(J1="GERAL", SUMIF('MAR 2025'!A2:A901,'VENDA DIA A DIA'!I30,'MAR 2025'!D2:D960), SUMIFS('MAR 2025'!D2:D900, 'MAR 2025'!A2:A900, 'VENDA DIA A DIA'!I30, 'MAR 2025'!I2:I900, J1))</f>
      </c>
      <c r="K30" s="28">
        <f>IF(J1="GERAL", SUMIF('MAR 2025'!A2:A960,'VENDA DIA A DIA'!I30,'MAR 2025'!H2:H960), SUMIFS('MAR 2025'!H2:H900, 'MAR 2025'!A2:A900, 'VENDA DIA A DIA'!I30, 'MAR 2025'!I2:I900, J1))</f>
      </c>
      <c r="L30" s="28">
        <f>IF(J1="GUILHERME", L4/13,L4/25)</f>
      </c>
      <c r="M30" s="1"/>
      <c r="N30" s="61">
        <f>TEXT(O30,"0")</f>
      </c>
      <c r="O30" s="64">
        <v>45783</v>
      </c>
      <c r="P30" s="29">
        <f>SUMIF('ABRIL 2025'!A:A,'VENDA DIA A DIA'!O30,'ABRIL 2025'!D:D)</f>
      </c>
      <c r="Q30" s="28">
        <f>IF(P26="GERAL", SUMIF('ABRIL 2025'!A:A,'VENDA DIA A DIA'!O30,'ABRIL 2025'!H:H), SUMIFS('ABRIL 2025'!H:H, 'ABRIL 2025'!A:A, 'VENDA DIA A DIA'!O30, 'ABRIL 2025'!K:K, P26))</f>
      </c>
      <c r="R30" s="28">
        <f>IF(P26="GERAL", SUMIF('ABRIL 2025'!A:A,'VENDA DIA A DIA'!O30,'ABRIL 2025'!J:J), SUMIFS('ABRIL 2025'!J:J, 'ABRIL 2025'!A:A, 'VENDA DIA A DIA'!O30, 'ABRIL 2025'!K:K, P26))</f>
      </c>
      <c r="S30" s="28">
        <f>S4/16</f>
      </c>
    </row>
    <row x14ac:dyDescent="0.25" r="31" customHeight="1" ht="18.75">
      <c r="A31" s="32"/>
      <c r="B31" s="32"/>
      <c r="C31" s="32"/>
      <c r="D31" s="32"/>
      <c r="E31" s="32"/>
      <c r="F31" s="32"/>
      <c r="G31" s="1"/>
      <c r="H31" s="61">
        <f>TEXT(I31,"0")</f>
      </c>
      <c r="I31" s="64">
        <v>45749</v>
      </c>
      <c r="J31" s="29">
        <f>IF(J1="GERAL", SUMIF('MAR 2025'!A2:A901,'VENDA DIA A DIA'!I31,'MAR 2025'!D2:D960), SUMIFS('MAR 2025'!D2:D900, 'MAR 2025'!A2:A900, 'VENDA DIA A DIA'!I31, 'MAR 2025'!I2:I900, J1))</f>
      </c>
      <c r="K31" s="28">
        <f>IF(J1="GERAL", SUMIF('MAR 2025'!A2:A960,'VENDA DIA A DIA'!I31,'MAR 2025'!H2:H960), SUMIFS('MAR 2025'!H2:H900, 'MAR 2025'!A2:A900, 'VENDA DIA A DIA'!I31, 'MAR 2025'!I2:I900, J1))</f>
      </c>
      <c r="L31" s="28">
        <f>IF(J1="GUILHERME", L4/13,L4/25)</f>
      </c>
      <c r="M31" s="1"/>
      <c r="N31" s="61">
        <f>TEXT(O31,"0")</f>
      </c>
      <c r="O31" s="64">
        <v>45784</v>
      </c>
      <c r="P31" s="29">
        <f>SUMIF('ABRIL 2025'!A:A,'VENDA DIA A DIA'!O31,'ABRIL 2025'!D:D)</f>
      </c>
      <c r="Q31" s="28">
        <f>IF(P27="GERAL", SUMIF('ABRIL 2025'!A:A,'VENDA DIA A DIA'!O31,'ABRIL 2025'!H:H), SUMIFS('ABRIL 2025'!H:H, 'ABRIL 2025'!A:A, 'VENDA DIA A DIA'!O31, 'ABRIL 2025'!K:K, P27))</f>
      </c>
      <c r="R31" s="28">
        <f>IF(P27="GERAL", SUMIF('ABRIL 2025'!A:A,'VENDA DIA A DIA'!O31,'ABRIL 2025'!J:J), SUMIFS('ABRIL 2025'!J:J, 'ABRIL 2025'!A:A, 'VENDA DIA A DIA'!O31, 'ABRIL 2025'!K:K, P27))</f>
      </c>
      <c r="S31" s="28">
        <f>S4/16</f>
      </c>
    </row>
    <row x14ac:dyDescent="0.25" r="32" customHeight="1" ht="18.75">
      <c r="A32" s="32"/>
      <c r="B32" s="32"/>
      <c r="C32" s="32"/>
      <c r="D32" s="32"/>
      <c r="E32" s="32"/>
      <c r="F32" s="32"/>
      <c r="G32" s="1"/>
      <c r="H32" s="61">
        <f>TEXT(I32,"0")</f>
      </c>
      <c r="I32" s="64">
        <v>45750</v>
      </c>
      <c r="J32" s="29">
        <f>IF(J1="GERAL", SUMIF('MAR 2025'!A2:A901,'VENDA DIA A DIA'!I32,'MAR 2025'!D2:D960), SUMIFS('MAR 2025'!D2:D900, 'MAR 2025'!A2:A900, 'VENDA DIA A DIA'!I32, 'MAR 2025'!I2:I900, J1))</f>
      </c>
      <c r="K32" s="28">
        <f>IF(J1="GERAL", SUMIF('MAR 2025'!A2:A960,'VENDA DIA A DIA'!I32,'MAR 2025'!H2:H960), SUMIFS('MAR 2025'!H2:H900, 'MAR 2025'!A2:A900, 'VENDA DIA A DIA'!I32, 'MAR 2025'!I2:I900, J1))</f>
      </c>
      <c r="L32" s="28">
        <f>IF(J1="GUILHERME", L4/13,L4/25)</f>
      </c>
      <c r="M32" s="1"/>
      <c r="N32" s="1"/>
      <c r="O32" s="39"/>
      <c r="P32" s="40"/>
      <c r="Q32" s="3"/>
      <c r="R32" s="3"/>
      <c r="S32" s="3"/>
    </row>
    <row x14ac:dyDescent="0.25" r="33" customHeight="1" ht="18.75">
      <c r="A33" s="32"/>
      <c r="B33" s="1"/>
      <c r="C33" s="39"/>
      <c r="D33" s="40"/>
      <c r="E33" s="3"/>
      <c r="F33" s="3"/>
      <c r="G33" s="1"/>
      <c r="H33" s="1"/>
      <c r="I33" s="39"/>
      <c r="J33" s="40"/>
      <c r="K33" s="3"/>
      <c r="L33" s="3"/>
      <c r="M33" s="1"/>
      <c r="N33" s="1"/>
      <c r="O33" s="39"/>
      <c r="P33" s="40"/>
      <c r="Q33" s="3"/>
      <c r="R33" s="3"/>
      <c r="S33" s="3"/>
    </row>
    <row x14ac:dyDescent="0.25" r="34" customHeight="1" ht="18.75">
      <c r="A34" s="32"/>
      <c r="B34" s="1"/>
      <c r="C34" s="39"/>
      <c r="D34" s="40"/>
      <c r="E34" s="3"/>
      <c r="F34" s="3"/>
      <c r="G34" s="1"/>
      <c r="H34" s="1"/>
      <c r="I34" s="39"/>
      <c r="J34" s="40"/>
      <c r="K34" s="3"/>
      <c r="L34" s="3"/>
      <c r="M34" s="1"/>
      <c r="N34" s="1"/>
      <c r="O34" s="39"/>
      <c r="P34" s="40"/>
      <c r="Q34" s="3"/>
      <c r="R34" s="3"/>
      <c r="S34" s="3"/>
    </row>
    <row x14ac:dyDescent="0.25" r="35" customHeight="1" ht="18.75">
      <c r="A35" s="32"/>
      <c r="B35" s="1"/>
      <c r="C35" s="39"/>
      <c r="D35" s="40"/>
      <c r="E35" s="3"/>
      <c r="F35" s="3"/>
      <c r="G35" s="1"/>
      <c r="H35" s="1"/>
      <c r="I35" s="39"/>
      <c r="J35" s="40"/>
      <c r="K35" s="3"/>
      <c r="L35" s="3"/>
      <c r="M35" s="1"/>
      <c r="N35" s="1"/>
      <c r="O35" s="39"/>
      <c r="P35" s="40"/>
      <c r="Q35" s="3"/>
      <c r="R35" s="3"/>
      <c r="S35" s="3"/>
    </row>
    <row x14ac:dyDescent="0.25" r="36" customHeight="1" ht="18.75">
      <c r="A36" s="68"/>
      <c r="B36" s="1"/>
      <c r="C36" s="39"/>
      <c r="D36" s="40"/>
      <c r="E36" s="3"/>
      <c r="F36" s="3"/>
      <c r="G36" s="1"/>
      <c r="H36" s="1"/>
      <c r="I36" s="39"/>
      <c r="J36" s="40"/>
      <c r="K36" s="3"/>
      <c r="L36" s="3"/>
      <c r="M36" s="1"/>
      <c r="N36" s="1"/>
      <c r="O36" s="39"/>
      <c r="P36" s="40"/>
      <c r="Q36" s="3"/>
      <c r="R36" s="3"/>
      <c r="S36" s="3"/>
    </row>
  </sheetData>
  <mergeCells count="8">
    <mergeCell ref="H1:I2"/>
    <mergeCell ref="J1:J2"/>
    <mergeCell ref="N1:O2"/>
    <mergeCell ref="P1:P2"/>
    <mergeCell ref="Q1:R2"/>
    <mergeCell ref="B3:C3"/>
    <mergeCell ref="H3:I3"/>
    <mergeCell ref="N3:O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I21"/>
  <sheetViews>
    <sheetView workbookViewId="0"/>
  </sheetViews>
  <sheetFormatPr defaultRowHeight="15" x14ac:dyDescent="0.25"/>
  <cols>
    <col min="1" max="1" style="11" width="4.147857142857143" customWidth="1" bestFit="1"/>
    <col min="2" max="2" style="12" width="14.862142857142858" customWidth="1" bestFit="1"/>
    <col min="3" max="3" style="37" width="12.290714285714287" customWidth="1" bestFit="1"/>
    <col min="4" max="4" style="38" width="15.43357142857143" customWidth="1" bestFit="1"/>
    <col min="5" max="5" style="37" width="12.862142857142858" customWidth="1" bestFit="1"/>
    <col min="6" max="6" style="37" width="12.862142857142858" customWidth="1" bestFit="1"/>
    <col min="7" max="7" style="37" width="10.719285714285713" customWidth="1" bestFit="1"/>
    <col min="8" max="8" style="37" width="14.005" customWidth="1" bestFit="1"/>
    <col min="9" max="9" style="37" width="18.862142857142857" customWidth="1" bestFit="1"/>
  </cols>
  <sheetData>
    <row x14ac:dyDescent="0.25" r="1" customHeight="1" ht="18.75">
      <c r="A1" s="1"/>
      <c r="B1" s="14" t="s">
        <v>10</v>
      </c>
      <c r="C1" s="15"/>
      <c r="D1" s="16"/>
      <c r="E1" s="15"/>
      <c r="F1" s="15"/>
      <c r="G1" s="15"/>
      <c r="H1" s="15"/>
      <c r="I1" s="15"/>
    </row>
    <row x14ac:dyDescent="0.25" r="2" customHeight="1" ht="5.25">
      <c r="A2" s="1"/>
      <c r="B2" s="2"/>
      <c r="C2" s="17"/>
      <c r="D2" s="18"/>
      <c r="E2" s="17"/>
      <c r="F2" s="17"/>
      <c r="G2" s="17"/>
      <c r="H2" s="17"/>
      <c r="I2" s="17"/>
    </row>
    <row x14ac:dyDescent="0.25" r="3" customHeight="1" ht="15">
      <c r="A3" s="1"/>
      <c r="B3" s="19" t="s">
        <v>11</v>
      </c>
      <c r="C3" s="20" t="s">
        <v>12</v>
      </c>
      <c r="D3" s="21"/>
      <c r="E3" s="22" t="s">
        <v>13</v>
      </c>
      <c r="F3" s="23"/>
      <c r="G3" s="17"/>
      <c r="H3" s="17"/>
      <c r="I3" s="17"/>
    </row>
    <row x14ac:dyDescent="0.25" r="4" customHeight="1" ht="18.75">
      <c r="A4" s="1"/>
      <c r="B4" s="24"/>
      <c r="C4" s="20" t="s">
        <v>5</v>
      </c>
      <c r="D4" s="21" t="s">
        <v>14</v>
      </c>
      <c r="E4" s="22" t="s">
        <v>5</v>
      </c>
      <c r="F4" s="25" t="s">
        <v>15</v>
      </c>
      <c r="G4" s="25" t="s">
        <v>16</v>
      </c>
      <c r="H4" s="26" t="s">
        <v>17</v>
      </c>
      <c r="I4" s="26" t="s">
        <v>18</v>
      </c>
    </row>
    <row x14ac:dyDescent="0.25" r="5" customHeight="1" ht="18.75">
      <c r="A5" s="1"/>
      <c r="B5" s="27" t="s">
        <v>19</v>
      </c>
      <c r="C5" s="28">
        <f>SUMIF('MAR 2025'!I2:I8991,B5,'MAR 2025'!H2:H8991)</f>
      </c>
      <c r="D5" s="29">
        <f>SUMIF('MAR 2025'!I2:I8992,B5,'MAR 2025'!D2:D8992)</f>
      </c>
      <c r="E5" s="28">
        <f>SUMIFS('MAR 2025'!H2:H9001, 'MAR 2025'!I2:I9001, "ISADORA", 'MAR 2025'!G2:G9001, "PAGO")</f>
      </c>
      <c r="F5" s="28">
        <f>IF(D5&lt;=450, C5*20%, IF(D5&lt;=500, C5*25%, C5*30%))+0.4</f>
      </c>
      <c r="G5" s="28">
        <f>IF(D5&lt;=450, E5*20%, IF(D5&lt;=500, E5*25%, E5*30%))+0.4</f>
      </c>
      <c r="H5" s="28">
        <v>385</v>
      </c>
      <c r="I5" s="28">
        <f>G5-H5</f>
      </c>
    </row>
    <row x14ac:dyDescent="0.25" r="6" customHeight="1" ht="18.75">
      <c r="A6" s="1"/>
      <c r="B6" s="2"/>
      <c r="C6" s="17"/>
      <c r="D6" s="18"/>
      <c r="E6" s="17"/>
      <c r="F6" s="17"/>
      <c r="G6" s="17"/>
      <c r="H6" s="17"/>
      <c r="I6" s="17"/>
    </row>
    <row x14ac:dyDescent="0.25" r="7" customHeight="1" ht="18.75">
      <c r="A7" s="1"/>
      <c r="B7" s="14" t="s">
        <v>20</v>
      </c>
      <c r="C7" s="15"/>
      <c r="D7" s="16"/>
      <c r="E7" s="15"/>
      <c r="F7" s="15"/>
      <c r="G7" s="15"/>
      <c r="H7" s="15"/>
      <c r="I7" s="15"/>
    </row>
    <row x14ac:dyDescent="0.25" r="8" customHeight="1" ht="18.75">
      <c r="A8" s="1"/>
      <c r="B8" s="2"/>
      <c r="C8" s="17"/>
      <c r="D8" s="18"/>
      <c r="E8" s="17"/>
      <c r="F8" s="17"/>
      <c r="G8" s="17"/>
      <c r="H8" s="17"/>
      <c r="I8" s="17"/>
    </row>
    <row x14ac:dyDescent="0.25" r="9" customHeight="1" ht="18.75">
      <c r="A9" s="1"/>
      <c r="B9" s="19" t="s">
        <v>11</v>
      </c>
      <c r="C9" s="20" t="s">
        <v>12</v>
      </c>
      <c r="D9" s="21"/>
      <c r="E9" s="21"/>
      <c r="F9" s="22" t="s">
        <v>13</v>
      </c>
      <c r="G9" s="30"/>
      <c r="H9" s="31" t="s">
        <v>17</v>
      </c>
      <c r="I9" s="31" t="s">
        <v>18</v>
      </c>
    </row>
    <row x14ac:dyDescent="0.25" r="10" customHeight="1" ht="18.75">
      <c r="A10" s="1"/>
      <c r="B10" s="24"/>
      <c r="C10" s="20" t="s">
        <v>5</v>
      </c>
      <c r="D10" s="21" t="s">
        <v>14</v>
      </c>
      <c r="E10" s="20" t="s">
        <v>15</v>
      </c>
      <c r="F10" s="22" t="s">
        <v>5</v>
      </c>
      <c r="G10" s="22" t="s">
        <v>16</v>
      </c>
      <c r="H10" s="24"/>
      <c r="I10" s="24"/>
    </row>
    <row x14ac:dyDescent="0.25" r="11" customHeight="1" ht="18.75">
      <c r="A11" s="1"/>
      <c r="B11" s="27" t="s">
        <v>19</v>
      </c>
      <c r="C11" s="28">
        <f>SUMIF('ABRIL 2025'!K2:K1000,B11,'ABRIL 2025'!H2:H1000)</f>
      </c>
      <c r="D11" s="29">
        <f>SUMIF('ABRIL 2025'!K:K,"ISADORA",'ABRIL 2025'!D:D)</f>
      </c>
      <c r="E11" s="28">
        <f>C11*0.2</f>
      </c>
      <c r="F11" s="28">
        <f>SUMIFS('ABRIL 2025'!H:H, 'ABRIL 2025'!K:K, B11, 'ABRIL 2025'!G:G, "PAGO")</f>
      </c>
      <c r="G11" s="28">
        <f>F11*0.2</f>
      </c>
      <c r="H11" s="28">
        <v>0</v>
      </c>
      <c r="I11" s="28">
        <f>G11-H11</f>
      </c>
    </row>
    <row x14ac:dyDescent="0.25" r="12" customHeight="1" ht="18.75">
      <c r="A12" s="1"/>
      <c r="B12" s="27" t="s">
        <v>21</v>
      </c>
      <c r="C12" s="28">
        <f>SUMIF('ABRIL 2025'!K:K,"ANA CAROLINA",'ABRIL 2025'!J:J)</f>
      </c>
      <c r="D12" s="29">
        <f>SUMIF('ABRIL 2025'!K:K,"ANA CAROLINA",'ABRIL 2025'!D:D)</f>
      </c>
      <c r="E12" s="28">
        <f>C12*0.2</f>
      </c>
      <c r="F12" s="28">
        <f>SUMIFS('ABRIL 2025'!H:H, 'ABRIL 2025'!K:K, B12, 'ABRIL 2025'!G:G, "PAGO")</f>
      </c>
      <c r="G12" s="28">
        <f>F12*0.2</f>
      </c>
      <c r="H12" s="28">
        <v>0</v>
      </c>
      <c r="I12" s="28">
        <f>G12-H12</f>
      </c>
    </row>
    <row x14ac:dyDescent="0.25" r="13" customHeight="1" ht="18.75">
      <c r="A13" s="1"/>
      <c r="B13" s="27" t="s">
        <v>22</v>
      </c>
      <c r="C13" s="28">
        <f>SUMIF('ABRIL 2025'!K:K,"GUILHERME",'ABRIL 2025'!J:J)</f>
      </c>
      <c r="D13" s="29">
        <f>SUMIF('ABRIL 2025'!K:K,"ANA CAROLINA",'ABRIL 2025'!D:D)</f>
      </c>
      <c r="E13" s="28">
        <f>C13*0.45</f>
      </c>
      <c r="F13" s="28">
        <f>SUMIFS('ABRIL 2025'!H:H, 'ABRIL 2025'!K:K, B13, 'ABRIL 2025'!G:G, "PAGO")</f>
      </c>
      <c r="G13" s="28">
        <f>F13*0.45</f>
      </c>
      <c r="H13" s="28">
        <v>0</v>
      </c>
      <c r="I13" s="28">
        <f>G13-H13</f>
      </c>
    </row>
    <row x14ac:dyDescent="0.25" r="14" customHeight="1" ht="18.75">
      <c r="A14" s="1"/>
      <c r="B14" s="2"/>
      <c r="C14" s="17"/>
      <c r="D14" s="18"/>
      <c r="E14" s="17"/>
      <c r="F14" s="17"/>
      <c r="G14" s="17"/>
      <c r="H14" s="17"/>
      <c r="I14" s="17"/>
    </row>
    <row x14ac:dyDescent="0.25" r="15" customHeight="1" ht="18.75">
      <c r="A15" s="1"/>
      <c r="B15" s="2"/>
      <c r="C15" s="32" t="s">
        <v>9</v>
      </c>
      <c r="D15" s="18"/>
      <c r="E15" s="17"/>
      <c r="F15" s="17"/>
      <c r="G15" s="17"/>
      <c r="H15" s="17"/>
      <c r="I15" s="17"/>
    </row>
    <row x14ac:dyDescent="0.25" r="16" customHeight="1" ht="18.75">
      <c r="A16" s="1"/>
      <c r="B16" s="2"/>
      <c r="C16" s="17"/>
      <c r="D16" s="33" t="s">
        <v>9</v>
      </c>
      <c r="E16" s="17"/>
      <c r="F16" s="17"/>
      <c r="G16" s="17"/>
      <c r="H16" s="17"/>
      <c r="I16" s="17"/>
    </row>
    <row x14ac:dyDescent="0.25" r="17" customHeight="1" ht="18.75">
      <c r="A17" s="1"/>
      <c r="B17" s="2"/>
      <c r="C17" s="17"/>
      <c r="D17" s="18"/>
      <c r="E17" s="17"/>
      <c r="F17" s="17"/>
      <c r="G17" s="17"/>
      <c r="H17" s="17"/>
      <c r="I17" s="17"/>
    </row>
    <row x14ac:dyDescent="0.25" r="18" customHeight="1" ht="18.75">
      <c r="A18" s="1"/>
      <c r="B18" s="2"/>
      <c r="C18" s="17"/>
      <c r="D18" s="18"/>
      <c r="E18" s="17"/>
      <c r="F18" s="17"/>
      <c r="G18" s="17"/>
      <c r="H18" s="17"/>
      <c r="I18" s="17"/>
    </row>
    <row x14ac:dyDescent="0.25" r="19" customHeight="1" ht="18.75">
      <c r="A19" s="1"/>
      <c r="B19" s="2"/>
      <c r="C19" s="17"/>
      <c r="D19" s="18"/>
      <c r="E19" s="17"/>
      <c r="F19" s="17"/>
      <c r="G19" s="17"/>
      <c r="H19" s="17"/>
      <c r="I19" s="17"/>
    </row>
    <row x14ac:dyDescent="0.25" r="20" customHeight="1" ht="18.75">
      <c r="A20" s="1"/>
      <c r="B20" s="2"/>
      <c r="C20" s="17"/>
      <c r="D20" s="18"/>
      <c r="E20" s="17"/>
      <c r="F20" s="17"/>
      <c r="G20" s="17"/>
      <c r="H20" s="17"/>
      <c r="I20" s="17"/>
    </row>
    <row x14ac:dyDescent="0.25" r="21" customHeight="1" ht="18.75">
      <c r="A21" s="1"/>
      <c r="B21" s="34"/>
      <c r="C21" s="35"/>
      <c r="D21" s="36"/>
      <c r="E21" s="35"/>
      <c r="F21" s="35"/>
      <c r="G21" s="35"/>
      <c r="H21" s="35"/>
      <c r="I21" s="35"/>
    </row>
  </sheetData>
  <mergeCells count="9">
    <mergeCell ref="B1:I1"/>
    <mergeCell ref="B3:B4"/>
    <mergeCell ref="C3:D3"/>
    <mergeCell ref="B7:I7"/>
    <mergeCell ref="B9:B10"/>
    <mergeCell ref="C9:E9"/>
    <mergeCell ref="F9:G9"/>
    <mergeCell ref="H9:H10"/>
    <mergeCell ref="I9:I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G22"/>
  <sheetViews>
    <sheetView workbookViewId="0"/>
  </sheetViews>
  <sheetFormatPr defaultRowHeight="15" x14ac:dyDescent="0.25"/>
  <cols>
    <col min="1" max="1" style="11" width="2.7192857142857143" customWidth="1" bestFit="1"/>
    <col min="2" max="2" style="11" width="20.576428571428572" customWidth="1" bestFit="1"/>
    <col min="3" max="3" style="12" width="1.4335714285714287" customWidth="1" bestFit="1"/>
    <col min="4" max="4" style="11" width="20.576428571428572" customWidth="1" bestFit="1"/>
    <col min="5" max="5" style="13" width="13.43357142857143" customWidth="1" bestFit="1"/>
    <col min="6" max="6" style="11" width="9.147857142857141" customWidth="1" bestFit="1"/>
    <col min="7" max="7" style="11" width="9.147857142857141" customWidth="1" bestFit="1"/>
  </cols>
  <sheetData>
    <row x14ac:dyDescent="0.25" r="1" customHeight="1" ht="18.75">
      <c r="A1" s="1"/>
      <c r="B1" s="1"/>
      <c r="C1" s="2"/>
      <c r="D1" s="1"/>
      <c r="E1" s="3"/>
      <c r="F1" s="1"/>
      <c r="G1" s="1"/>
    </row>
    <row x14ac:dyDescent="0.25" r="2" customHeight="1" ht="18.75">
      <c r="A2" s="1"/>
      <c r="B2" s="1"/>
      <c r="C2" s="2"/>
      <c r="D2" s="4" t="s">
        <v>0</v>
      </c>
      <c r="E2" s="5">
        <f>'RESUMO MENSAL'!P27</f>
      </c>
      <c r="F2" s="1"/>
      <c r="G2" s="1"/>
    </row>
    <row x14ac:dyDescent="0.25" r="3" customHeight="1" ht="18.75">
      <c r="A3" s="1"/>
      <c r="B3" s="1"/>
      <c r="C3" s="2"/>
      <c r="D3" s="1"/>
      <c r="E3" s="3"/>
      <c r="F3" s="1"/>
      <c r="G3" s="1"/>
    </row>
    <row x14ac:dyDescent="0.25" r="4" customHeight="1" ht="18.75">
      <c r="A4" s="1"/>
      <c r="B4" s="1"/>
      <c r="C4" s="2"/>
      <c r="D4" s="1"/>
      <c r="E4" s="3"/>
      <c r="F4" s="1"/>
      <c r="G4" s="1"/>
    </row>
    <row x14ac:dyDescent="0.25" r="5" customHeight="1" ht="18.75">
      <c r="A5" s="1"/>
      <c r="B5" s="1"/>
      <c r="C5" s="2"/>
      <c r="D5" s="6" t="s">
        <v>1</v>
      </c>
      <c r="E5" s="7"/>
      <c r="F5" s="1"/>
      <c r="G5" s="1"/>
    </row>
    <row x14ac:dyDescent="0.25" r="6" customHeight="1" ht="18.75">
      <c r="A6" s="1"/>
      <c r="B6" s="1"/>
      <c r="C6" s="2"/>
      <c r="D6" s="4" t="s">
        <v>2</v>
      </c>
      <c r="E6" s="5">
        <f>SUM(COMISSÕES!E11:E13)</f>
      </c>
      <c r="F6" s="1"/>
      <c r="G6" s="1"/>
    </row>
    <row x14ac:dyDescent="0.25" r="7" customHeight="1" ht="18.75">
      <c r="A7" s="1"/>
      <c r="B7" s="8"/>
      <c r="C7" s="2"/>
      <c r="D7" s="4" t="s">
        <v>3</v>
      </c>
      <c r="E7" s="5">
        <f>'RESUMO MENSAL'!Q27</f>
      </c>
      <c r="F7" s="1"/>
      <c r="G7" s="1"/>
    </row>
    <row x14ac:dyDescent="0.25" r="8" customHeight="1" ht="18.75">
      <c r="A8" s="1"/>
      <c r="B8" s="1"/>
      <c r="C8" s="2"/>
      <c r="D8" s="4" t="s">
        <v>4</v>
      </c>
      <c r="E8" s="5">
        <f>E2*0.25</f>
      </c>
      <c r="F8" s="1"/>
      <c r="G8" s="1"/>
    </row>
    <row x14ac:dyDescent="0.25" r="9" customHeight="1" ht="18.75">
      <c r="A9" s="1"/>
      <c r="B9" s="1"/>
      <c r="C9" s="2"/>
      <c r="D9" s="9" t="s">
        <v>5</v>
      </c>
      <c r="E9" s="7">
        <f>SUM(E6:E8)</f>
      </c>
      <c r="F9" s="1"/>
      <c r="G9" s="1"/>
    </row>
    <row x14ac:dyDescent="0.25" r="10" customHeight="1" ht="18.75">
      <c r="A10" s="1"/>
      <c r="B10" s="1"/>
      <c r="C10" s="2"/>
      <c r="D10" s="1"/>
      <c r="E10" s="3"/>
      <c r="F10" s="1"/>
      <c r="G10" s="8"/>
    </row>
    <row x14ac:dyDescent="0.25" r="11" customHeight="1" ht="18.75">
      <c r="A11" s="1"/>
      <c r="B11" s="1"/>
      <c r="C11" s="2"/>
      <c r="D11" s="4" t="s">
        <v>6</v>
      </c>
      <c r="E11" s="5">
        <f>E2-E9</f>
      </c>
      <c r="F11" s="1"/>
      <c r="G11" s="8"/>
    </row>
    <row x14ac:dyDescent="0.25" r="12" customHeight="1" ht="18.75">
      <c r="A12" s="1"/>
      <c r="B12" s="1"/>
      <c r="C12" s="2"/>
      <c r="D12" s="4" t="s">
        <v>7</v>
      </c>
      <c r="E12" s="5">
        <f>E7+E8</f>
      </c>
      <c r="F12" s="1"/>
      <c r="G12" s="1"/>
    </row>
    <row x14ac:dyDescent="0.25" r="13" customHeight="1" ht="18.75">
      <c r="A13" s="1"/>
      <c r="B13" s="1"/>
      <c r="C13" s="2"/>
      <c r="D13" s="4" t="s">
        <v>8</v>
      </c>
      <c r="E13" s="10">
        <f>E11/2</f>
      </c>
      <c r="F13" s="1"/>
      <c r="G13" s="1"/>
    </row>
    <row x14ac:dyDescent="0.25" r="14" customHeight="1" ht="18.75">
      <c r="A14" s="1"/>
      <c r="B14" s="1"/>
      <c r="C14" s="2"/>
      <c r="D14" s="1"/>
      <c r="E14" s="3"/>
      <c r="F14" s="1"/>
      <c r="G14" s="1"/>
    </row>
    <row x14ac:dyDescent="0.25" r="15" customHeight="1" ht="18.75">
      <c r="A15" s="1"/>
      <c r="B15" s="1"/>
      <c r="C15" s="2"/>
      <c r="D15" s="1"/>
      <c r="E15" s="3"/>
      <c r="F15" s="1"/>
      <c r="G15" s="1"/>
    </row>
    <row x14ac:dyDescent="0.25" r="16" customHeight="1" ht="18.75">
      <c r="A16" s="1"/>
      <c r="B16" s="1"/>
      <c r="C16" s="2"/>
      <c r="D16" s="1"/>
      <c r="E16" s="3"/>
      <c r="F16" s="1"/>
      <c r="G16" s="1"/>
    </row>
    <row x14ac:dyDescent="0.25" r="17" customHeight="1" ht="18.75">
      <c r="A17" s="1"/>
      <c r="B17" s="1"/>
      <c r="C17" s="2"/>
      <c r="D17" s="1"/>
      <c r="E17" s="3"/>
      <c r="F17" s="1"/>
      <c r="G17" s="1"/>
    </row>
    <row x14ac:dyDescent="0.25" r="18" customHeight="1" ht="18.75">
      <c r="A18" s="1"/>
      <c r="B18" s="1"/>
      <c r="C18" s="2"/>
      <c r="D18" s="1"/>
      <c r="E18" s="3"/>
      <c r="F18" s="1"/>
      <c r="G18" s="1"/>
    </row>
    <row x14ac:dyDescent="0.25" r="19" customHeight="1" ht="18.75">
      <c r="A19" s="1"/>
      <c r="B19" s="1"/>
      <c r="C19" s="2"/>
      <c r="D19" s="1"/>
      <c r="E19" s="3"/>
      <c r="F19" s="1"/>
      <c r="G19" s="1"/>
    </row>
    <row x14ac:dyDescent="0.25" r="20" customHeight="1" ht="18.75">
      <c r="A20" s="1"/>
      <c r="B20" s="1"/>
      <c r="C20" s="2"/>
      <c r="D20" s="1"/>
      <c r="E20" s="3"/>
      <c r="F20" s="1"/>
      <c r="G20" s="1"/>
    </row>
    <row x14ac:dyDescent="0.25" r="21" customHeight="1" ht="18.75">
      <c r="A21" s="1"/>
      <c r="B21" s="1"/>
      <c r="C21" s="2"/>
      <c r="D21" s="1"/>
      <c r="E21" s="3"/>
      <c r="F21" s="1"/>
      <c r="G21" s="1"/>
    </row>
    <row x14ac:dyDescent="0.25" r="22" customHeight="1" ht="18.75">
      <c r="A22" s="1"/>
      <c r="B22" s="1"/>
      <c r="C22" s="8" t="s">
        <v>9</v>
      </c>
      <c r="D22" s="1"/>
      <c r="E22" s="3"/>
      <c r="F22" s="1"/>
      <c r="G22" s="1"/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9</vt:i4>
      </vt:variant>
    </vt:vector>
  </HeadingPairs>
  <TitlesOfParts>
    <vt:vector baseType="lpstr" size="9">
      <vt:lpstr>CONFIGURAÇÃO</vt:lpstr>
      <vt:lpstr>PRECIFICAÇÃO</vt:lpstr>
      <vt:lpstr>FEV 2025</vt:lpstr>
      <vt:lpstr>MAR 2025</vt:lpstr>
      <vt:lpstr>ABRIL 2025</vt:lpstr>
      <vt:lpstr>RESUMO MENSAL</vt:lpstr>
      <vt:lpstr>VENDA DIA A DIA</vt:lpstr>
      <vt:lpstr>COMISSÕES</vt:lpstr>
      <vt:lpstr>CONTABILIDADE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2025-04-27T22:01:17.479Z</dcterms:created>
  <dcterms:modified xsi:type="dcterms:W3CDTF">2025-04-27T22:01:17.479Z</dcterms:modified>
</cp:coreProperties>
</file>